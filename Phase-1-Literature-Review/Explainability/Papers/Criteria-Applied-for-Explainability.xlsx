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papers-citations" sheetId="1" r:id="rId4"/>
  </sheets>
  <definedNames/>
  <calcPr/>
  <extLst>
    <ext uri="GoogleSheetsCustomDataVersion2">
      <go:sheetsCustomData xmlns:go="http://customooxmlschemas.google.com/" r:id="rId5" roundtripDataChecksum="Te2riUsTS+cJYagrNoNpnwhDKNjULwzLH7XKO0oNYPA="/>
    </ext>
  </extLst>
</workbook>
</file>

<file path=xl/sharedStrings.xml><?xml version="1.0" encoding="utf-8"?>
<sst xmlns="http://schemas.openxmlformats.org/spreadsheetml/2006/main" count="717" uniqueCount="414">
  <si>
    <t>Authors</t>
  </si>
  <si>
    <t>Title</t>
  </si>
  <si>
    <t>Publication</t>
  </si>
  <si>
    <t>Year</t>
  </si>
  <si>
    <t>Publisher</t>
  </si>
  <si>
    <t>I1</t>
  </si>
  <si>
    <t>I2</t>
  </si>
  <si>
    <t>E1</t>
  </si>
  <si>
    <t>E2</t>
  </si>
  <si>
    <t>E3</t>
  </si>
  <si>
    <t>E4</t>
  </si>
  <si>
    <t>E5</t>
  </si>
  <si>
    <t>Included?</t>
  </si>
  <si>
    <t>Duplicates</t>
  </si>
  <si>
    <t>LEGEND</t>
  </si>
  <si>
    <t>Beamish, David; Exarchakis, Georgios;</t>
  </si>
  <si>
    <t>Large Language Models for Explainability in Machine Learning</t>
  </si>
  <si>
    <t>x</t>
  </si>
  <si>
    <t>X</t>
  </si>
  <si>
    <t>not included because of fail constraint</t>
  </si>
  <si>
    <t>Penicig, James; Chen, Benjamin; Wilson, Scott; Garcia, Sophia;</t>
  </si>
  <si>
    <t>Assessing explainability in large language models through soft counterfactual analysis: A comparative study of google gemini and openai chatgpt</t>
  </si>
  <si>
    <t>Papers that are peer reviewed.</t>
  </si>
  <si>
    <t xml:space="preserve">Ivanov, Yuri; </t>
  </si>
  <si>
    <t>Understanding the inner workings of large language models: Interpretability and explainability</t>
  </si>
  <si>
    <t>MZ Journal of Artificial Intelligence</t>
  </si>
  <si>
    <t>Papers that discuss models, guidelines, frameworks, methodologies,
approaches, or strategies to evaluate or improve explainability,
accuracy, or energy consumption in LLMs, including empirical
studies.</t>
  </si>
  <si>
    <t xml:space="preserve">Quttainah, Majdi; Mishra, Vinaytosh; Madakam, Somayya; Lurie, Yotam; Mark, Shlomo; </t>
  </si>
  <si>
    <t>Cost, usability, credibility, fairness, accountability, transparency, and explainability framework for safe and effective large language models in medical education: Narrative review and qualitative study</t>
  </si>
  <si>
    <t>Jmir Ai</t>
  </si>
  <si>
    <t>JMIR Publications Inc., Toronto, Canada</t>
  </si>
  <si>
    <t>Papers that are not written in the English language.</t>
  </si>
  <si>
    <t xml:space="preserve">San Miguel, Gabriela Sanchez; Griffith, Henry; Silva, Jacob; Rathore, Heena; </t>
  </si>
  <si>
    <t>Evaluating the Explainability of Large Language Models for Ethical Decision Making</t>
  </si>
  <si>
    <t>2025 IEEE International Conference on Consumer Electronics (ICCE)</t>
  </si>
  <si>
    <t>IEEE</t>
  </si>
  <si>
    <t>Papers referring to AI while describing LLM specific behavior, without clear distinction, are excluded due to conceptual ambiguity.</t>
  </si>
  <si>
    <t>Ehsan, Upol; Watkins, Elizabeth A; Wintersberger, Philipp; Manger, Carina; Kim, Sunnie SY; Van Berkel, Niels; Riener, Andreas; Riedl, Mark O;</t>
  </si>
  <si>
    <t>Human-centered explainable AI (HCXAI): Reloading explainability in the era of large language models (LLMs)</t>
  </si>
  <si>
    <t>Extended Abstracts of the CHI Conference on Human Factors in Computing Systems</t>
  </si>
  <si>
    <t>Papers that are preprints, white papers, blog posts, or workshop
papers without rigorous peer review.</t>
  </si>
  <si>
    <t>Spitzer, Philipp; Celis, Sebastian; Martin, Dominik; Kühl, Niklas; Satzger, Gerhard;</t>
  </si>
  <si>
    <t>Looking Through the Deep Glasses: How Large Language Models Enhance Explainability of Deep Learning Models</t>
  </si>
  <si>
    <t>Proceedings of Mensch und Computer 2024</t>
  </si>
  <si>
    <t>Papers that represent patents, Bachelor’s, Master’s, or Doctoral
theses.</t>
  </si>
  <si>
    <t>Mohammadi, Seyedali; Raff, Edward; Malekar, Jinendra; Palit, Vedant; Ferraro, Francis; Gaur, Manas;</t>
  </si>
  <si>
    <t>WellDunn: On the Robustness and Explainability of Language Models and Large Language Models in Identifying Wellness Dimensions</t>
  </si>
  <si>
    <t>arXiv preprint arXiv:2406.12058</t>
  </si>
  <si>
    <t xml:space="preserve">Papers that are currently unavailable for download (e.g., returning a 404 error) </t>
  </si>
  <si>
    <t>Figênio, Mateus R; Santanché, André; Gomes-Jr, Luiz;</t>
  </si>
  <si>
    <t>The Impact of Activation Patterns in the Explainability of Large Language Models–A Survey of recent advances</t>
  </si>
  <si>
    <t>Escola Regional de Banco de Dados (ERBD)</t>
  </si>
  <si>
    <t>SBC</t>
  </si>
  <si>
    <t>Orange Rows</t>
  </si>
  <si>
    <t>Wu, Shi; Zhou, Jianlong; Dong, Yifei; Chen, Fang;</t>
  </si>
  <si>
    <t>Enhancing Explainability of Deep Learning-Based ECG Diagnosis Using Large Language Models</t>
  </si>
  <si>
    <t>Proceedings of the 2024 8th International Conference on Advances in Artificial Intelligence</t>
  </si>
  <si>
    <t>Hu, Yuanyuan; Giacaman, Nasser; Donald, Claire;</t>
  </si>
  <si>
    <t>Enhancing Trust in Generative AI: Investigating Explainability of LLMs to Analyse Confusion in MOOC Discussions.</t>
  </si>
  <si>
    <t>LAK Workshops</t>
  </si>
  <si>
    <t>Chen, Guanxu; Liu, Dongrui; Luo, Tao; Shao, Jing;</t>
  </si>
  <si>
    <t>SEER: Self-Explainability Enhancement of Large Language Models' Representations</t>
  </si>
  <si>
    <t>arXiv preprint arXiv:2502.05242</t>
  </si>
  <si>
    <t>Total Count:</t>
  </si>
  <si>
    <t>Amara, Jihen; König-Ries, Birgitta; Samuel, Sheeba;</t>
  </si>
  <si>
    <t>Enhancing explainability in multimodal large language models using ontological context</t>
  </si>
  <si>
    <t>arXiv preprint arXiv:2409.18753</t>
  </si>
  <si>
    <t>Tan, Ting Fang; Elangovan, Kabilan; Ong, Jasmine; Shah, Nigam; Sung, Joseph; Wong, Tien Yin; Xue, Lan; Liu, Nan; Wang, Haibo; Kuo, Chang Fu;</t>
  </si>
  <si>
    <t>A proposed score evaluation framework for large language models: Safety, consensus, objectivity, reproducibility and explainability</t>
  </si>
  <si>
    <t>arXiv preprint arXiv:2407.07666</t>
  </si>
  <si>
    <t>Bogaert, Jeremie; Standaert, François-Xavier;</t>
  </si>
  <si>
    <t>A question on the explainability of large language models and the word-level univariate first-order plausibility assumption</t>
  </si>
  <si>
    <t>arXiv preprint arXiv:2403.10275</t>
  </si>
  <si>
    <t>Held, Jan; Itani, Hani; Cioppa, Anthony; Giancola, Silvio; Ghanem, Bernard; Van Droogenbroeck, Marc;</t>
  </si>
  <si>
    <t>X-vars: Introducing explainability in football refereeing with multi-modal large language models</t>
  </si>
  <si>
    <t>Proceedings of the IEEE/CVF Conference on Computer Vision and Pattern Recognition</t>
  </si>
  <si>
    <t>Pramanik, Vishal; Maliha, Maisha; Jha, Sumit Kumar;</t>
  </si>
  <si>
    <t>Enhancing Integrated Gradients Using Emphasis Factors and Attention for Effective Explainability of Large Language Models</t>
  </si>
  <si>
    <t>Tan, Ting Fang; Elangovan, Kabilan; Ong, Jasmine Chiat Ling; Lee, Aaron; Shah, Nigam H; Sung, Joseph JY; Wong, Tien Yin; Lan, Xue; Liu, Nan; Wang, Haibo;</t>
  </si>
  <si>
    <t>A Proposed SCORE Evaluation Framework for Large Language Models–Safety, Consensus &amp; Context, Objectivity, Reproducibility and Explainability</t>
  </si>
  <si>
    <t>Consensus &amp; Context, Objectivity, Reproducibility and Explainability</t>
  </si>
  <si>
    <t>Chen, Yanfang; Chen, Ding; Song, Shichao; Niu, Simin; Wang, Hanyu; Tang, Zeyun; Xiong, Feiyu; Li, Zhiyu;</t>
  </si>
  <si>
    <t>Hrde: Retrieval-augmented large language models for chinese health rumor detection and explainability</t>
  </si>
  <si>
    <t>arXiv preprint arXiv:2407.00668</t>
  </si>
  <si>
    <t>Paul, Anthony Lawrence;</t>
  </si>
  <si>
    <t>Improving Explainability in Large Language Models (LLMs)</t>
  </si>
  <si>
    <t>Shui, Xia; Ru, Zhihao;</t>
  </si>
  <si>
    <t>Bridging the Gap Between Explainability and Large Language Models</t>
  </si>
  <si>
    <t>Li, Lingfang; Sen, Procheta;</t>
  </si>
  <si>
    <t>Unraveling the Influence of Training Data and Internal Structures in Large Language Models for Enhanced Explainability (Student Abstract)</t>
  </si>
  <si>
    <t>Proceedings of the AAAI Conference on Artificial Intelligence</t>
  </si>
  <si>
    <t>Romero, Ma Angelina Alarcón; Trejo, José Antonio Orizaga; Mota, Daniel Hernández; Villalpando, Luis Fernando Baltazar; Herrera, Ma Hidalia Cruz;</t>
  </si>
  <si>
    <t>Enhancing Explainability, Privacy, and Fairness in Recidivism Prediction through Local LLMs and Synthetic data</t>
  </si>
  <si>
    <t>International Journal of Combinatorial Optimization Problems and Informatics</t>
  </si>
  <si>
    <t>International Journal of Combinatorial Optimization Problems &amp; Informatics</t>
  </si>
  <si>
    <t>Adrian M.P. Brasoveanu; Arno Scharl; Lyndon J.B. Nixon; Răzvan Andonie</t>
  </si>
  <si>
    <t>Visualizing Large Language Models: A Brief Survey</t>
  </si>
  <si>
    <t>Zina Chkirbene; Ridha Hamila; Ala Gouissem; Unal Devrim</t>
  </si>
  <si>
    <t>Large Language Models (LLM) in Industry: A Survey of Applications, Challenges, and Trends</t>
  </si>
  <si>
    <t>Ishika Shruti; Amol Kumar; Arjun Seth; Rajeev Ranjan N</t>
  </si>
  <si>
    <t>Responsible Generative AI: A Comprehensive Study to Explain LLMs</t>
  </si>
  <si>
    <t>Eric Mugnier, Emmanuel Anaya Gonzalez, Nadia Polikarpova, Ranjit Jhala, and Zhou Yuanyuan</t>
  </si>
  <si>
    <t>Laurel: Unblocking Automated Verification with Large Language Models</t>
  </si>
  <si>
    <t>ACM</t>
  </si>
  <si>
    <t>Michael R. Lyu, Baishakhi Ray, Abhik Roychoudhury, Shin Hwei Tan, and Patanamon Thongtanunam</t>
  </si>
  <si>
    <t>Automatic Programming: Large Language Models and Beyond</t>
  </si>
  <si>
    <t>Quanjun Zhang, Weifeng Sun, Chunrong Fang, Bowen Yu, Hongyan Li, Meng Yan, Jianyi Zhou, and Zhenyu Chen</t>
  </si>
  <si>
    <t>Exploring Automated Assertion Generation via Large Language Models</t>
  </si>
  <si>
    <t>Xin Wang, Hong Chen, Zirui Pan, Yuwei Zhou, Chaoyu Guan, Lifeng Sun, and Wenwu Zhu</t>
  </si>
  <si>
    <t>Automated Disentangled Sequential Recommendation with Large Language Models</t>
  </si>
  <si>
    <t>Sirui Huang, Qian Li, Haoran Yang, Dianer Yu, Qing Li, and Guandong Xu</t>
  </si>
  <si>
    <t>Causal Time-aware News Recommendations with Large Language Models</t>
  </si>
  <si>
    <t>Wenyu Mao, Jiancan Wu, Weijian Chen, Chongming Gao, Xiang Wang, and Xiangnan He</t>
  </si>
  <si>
    <t>Reinforced Prompt Personalization for Recommendation with Large Language Models</t>
  </si>
  <si>
    <t>Lei Chen, Chen Gao, Xiaoyi Du, Hengliang Luo, Depeng Jin, Yong Li, and Meng Wang</t>
  </si>
  <si>
    <t>Enhancing ID-based Recommendation with Large Language Models</t>
  </si>
  <si>
    <t>Song Wang, Yaochen Zhu, Haochen Liu, Zaiyi Zheng, Chen Chen, and Jundong Li</t>
  </si>
  <si>
    <t>Knowledge Editing for Large Language Models: A Survey</t>
  </si>
  <si>
    <t>Daniel E. O'Leary Jr</t>
  </si>
  <si>
    <t>USING LARGE LANGUAGE MODELS FOR ARMCHAIR AUDITORS</t>
  </si>
  <si>
    <t>Rudolf Chow, King Yiu Suen, and Albert Y.S. Lam</t>
  </si>
  <si>
    <t>On Leveraging Large Language Models for Multilingual Intent Discovery</t>
  </si>
  <si>
    <t>Mirko Franco, Ombretta Gaggi, and Claudio E. Palazzi</t>
  </si>
  <si>
    <t>Integrating Content Moderation Systems with Large Language Models</t>
  </si>
  <si>
    <t>Andrew Blinn, Xiang Li, June Hyung Kim, and Cyrus Omar</t>
  </si>
  <si>
    <t>Statically Contextualizing Large Language Models with Typed Holes</t>
  </si>
  <si>
    <t>Xu Huang, Jianxun Lian, Yuxuan Lei, Jing Yao, Defu Lian, and Xing Xie</t>
  </si>
  <si>
    <t>Recommender AI Agent: Integrating Large Language Models for Interactive Recommendations</t>
  </si>
  <si>
    <t>Jianchao Ji, Zelong Li, Shuyuan Xu, Wenyue Hua, Juntao Tan, Haoming Gong, and Yongfeng Zhang</t>
  </si>
  <si>
    <t>Probing the Symbolic Logical Reasoning Ability of Large Language Models</t>
  </si>
  <si>
    <t>Badhan Chandra Das, M. Hadi Amini, and Yanzhao Wu</t>
  </si>
  <si>
    <t>Security and Privacy Challenges of Large Language Models: A Survey</t>
  </si>
  <si>
    <t>Qiang Zhang, Keyan Ding, Tianwen Lv, Xinda Wang, Qingyu Yin, Yiwen Zhang, Jing Yu, Yuhao Wang, Xiaotong Li, Zhuoyi Xiang, Xiang Zhuang, Zeyuan Wang, Ming Qin, Mengyao Zhang, Jinlu Zhang, Jiyu Cui, Renjun Xu, Hongyang Chen, Xiaohui Fan, Huabin Xing, and Huajun Chen</t>
  </si>
  <si>
    <t>Scientific Large Language Models: A Survey on Biological &amp;amp; Chemical Domains</t>
  </si>
  <si>
    <t>Haoran Xin, Ying Sun, Chao Wang, and Hui Xiong</t>
  </si>
  <si>
    <t>LLMCDSR: Enhancing Cross-Domain Sequential Recommendation with Large Language Models</t>
  </si>
  <si>
    <t>Chen Fang, Yidong Wang, Yunze Song, Qingqing Long, Wang Lu, Linghui Chen, Guihai Feng, Yuanchun Zhou, and Xin Li</t>
  </si>
  <si>
    <t>How do Large Language Models understand Genes and Cells</t>
  </si>
  <si>
    <t>Haiyan Zhao, Hanjie Chen, Fan Yang, Ninghao Liu, Huiqi Deng, Hengyi Cai, Shuaiqiang Wang, Dawei Yin, and Mengnan Du</t>
  </si>
  <si>
    <t>Explainability for Large Language Models: A Survey</t>
  </si>
  <si>
    <t>Yue Zheng, Yuhao Chen, Bin Qian, Xiufang Shi, Yuanchao Shu, and Jiming Chen</t>
  </si>
  <si>
    <t>A Review on Edge Large Language Models: Design, Execution, and Applications</t>
  </si>
  <si>
    <t>Xinyi Hou, Yanjie Zhao, Yue Liu, Zhou Yang, Kailong Wang, Li Li, Xiapu Luo, David Lo, John Grundy, and Haoyu Wang</t>
  </si>
  <si>
    <t>Large Language Models for Software Engineering: A Systematic Literature Review</t>
  </si>
  <si>
    <t>Mengxi Zhang, Huaxiao Liu, Changhao Du, Tengmei Wang, Han Li, Pei Huang, and Chunyang Chen</t>
  </si>
  <si>
    <t>Distinguishing GUI Component States for Blind Users using Large Language Models</t>
  </si>
  <si>
    <t>Victor Giannakouris and Immanuel Trummer</t>
  </si>
  <si>
    <t>Î»-Tune: Harnessing Large Language Models for Automated Database System Tuning</t>
  </si>
  <si>
    <t>Benjamin Ampel, Chi-Heng Yang, James Hu, and Hsinchun Chen</t>
  </si>
  <si>
    <t>Large Language Models for Conducting Advanced Text Analytics Information Systems Research</t>
  </si>
  <si>
    <t>Yupeng Chang, Xu Wang, Jindong Wang, Yuan Wu, Linyi Yang, Kaijie Zhu, Hao Chen, Xiaoyuan Yi, Cunxiang Wang, Yidong Wang, Wei Ye, Yue Zhang, Yi Chang, Philip S. Yu, Qiang Yang, and Xing Xie</t>
  </si>
  <si>
    <t>A Survey on Evaluation of Large Language Models</t>
  </si>
  <si>
    <t>Zhiyuan Wang, Fangxu Yuan, Virginia LeBaron, Tabor Flickinger, and Laura E. Barnes</t>
  </si>
  <si>
    <t>PALLM: Evaluating and Enhancing PALLiative Care Conversations with Large Language Models</t>
  </si>
  <si>
    <t>Diego Carraro and Derek Bridge</t>
  </si>
  <si>
    <t>Enhancing Recommendation Diversity by Re-ranking with Large Language Models</t>
  </si>
  <si>
    <t>Jianghao Lin, Xinyi Dai, Yunjia Xi, Weiwen Liu, Bo Chen, Hao Zhang, Yong Liu, Chuhan Wu, Xiangyang Li, Chenxu Zhu, Huifeng Guo, Yong Yu, Ruiming Tang, and Weinan Zhang</t>
  </si>
  <si>
    <t>How Can Recommender Systems Benefit from Large Language Models: A Survey</t>
  </si>
  <si>
    <t>Ashly Ann Jo, Ebin Deni Raj, and Jayakrushna Sahoo</t>
  </si>
  <si>
    <t>Efficiency and Performance Optimization in Large Language Models through IB Fine-Tuning</t>
  </si>
  <si>
    <t>Qinbin Li, Junyuan Hong, Chulin Xie, Jeffrey Tan, Rachel Xin, Junyi Hou, Xavier Yin, Zhun Wang, Dan Hendrycks, Zhangyang Wang, Bo Li, Bingsheng He, and Dawn Song</t>
  </si>
  <si>
    <t>LLM-PBE: Assessing Data Privacy in Large Language Models</t>
  </si>
  <si>
    <t>Francesco Periti and Stefano Montanelli</t>
  </si>
  <si>
    <t>Lexical Semantic Change through Large Language Models: a Survey</t>
  </si>
  <si>
    <t>Keqin Bao, Jizhi Zhang, Wenjie Wang, Yang Zhang, Zhengyi Yang, Yanchen Luo, Chong Chen, Fuli Feng, and Qi Tian</t>
  </si>
  <si>
    <t>A Bi-Step Grounding Paradigm for Large Language Models in Recommendation Systems</t>
  </si>
  <si>
    <t>Qi Yang, Aleksandr Farseev, Marlo Ongpin, Alfred Huang, Yu-Yi Chu-Farseeva, Da-Min You, Kirill Lepikhin, and Sergey Nikolenko</t>
  </si>
  <si>
    <t>Fusing Predictive and Large Language Models for Actionable Recommendations In Creative Marketing</t>
  </si>
  <si>
    <t>Chenyuan Yang, Yinlin Deng, Runyu Lu, Jiayi Yao, Jiawei Liu, Reyhaneh Jabbarvand, and Lingming Zhang</t>
  </si>
  <si>
    <t>WhiteFox: White-Box Compiler Fuzzing Empowered by Large Language Models</t>
  </si>
  <si>
    <t>Thomas Weber, Maximilian Brandmaier, Albrecht Schmidt, and Sven Mayer</t>
  </si>
  <si>
    <t>Significant Productivity Gains through Programming with Large Language Models</t>
  </si>
  <si>
    <t>Anastasiia Grishina, Vadim Liventsev, Aki H\"{a}rm\"{a}, and Leon Moonen</t>
  </si>
  <si>
    <t>Fully Autonomous Programming Using Iterative Multi-Agent Debugging with Large Language Models</t>
  </si>
  <si>
    <t>Huili Wang, Chuhan Wu, Yongfeng Huang, and Tao Qi</t>
  </si>
  <si>
    <t>Learning Human Feedback from Large Language Models for Content Quality-aware Recommendation</t>
  </si>
  <si>
    <t>Gabriele Civitarese, Michele Fiori, Priyankar Choudhary, and Claudio Bettini</t>
  </si>
  <si>
    <t>Large Language Models are Zero-Shot Recognizers for Activities of Daily Living</t>
  </si>
  <si>
    <t>Iain J. Cruickshank and Lynnette Hui Xian Ng</t>
  </si>
  <si>
    <t>Prompting and Fine-Tuning Open-Sourced Large Language Models for Stance Classification</t>
  </si>
  <si>
    <t>Xuanhe Zhou, Guoliang Li, Zhaoyan Sun, Zhiyuan Liu, Weize Chen, Jianming Wu, Jiesi Liu, Ruohang Feng, and Guoyang Zeng</t>
  </si>
  <si>
    <t>D-Bot: Database Diagnosis System using Large Language Models</t>
  </si>
  <si>
    <t>Sahil Mishra, Ujjwal Sudev, and Tanmoy Chakraborty</t>
  </si>
  <si>
    <t>FLAME: Self-Supervised Low-Resource Taxonomy Expansion Using Large Language Models</t>
  </si>
  <si>
    <t>Jingyu Pan, Guanglei Zhou, Chen-Chia Chang, Isaac Jacobson, Jiang Hu, and Yiran Chen</t>
  </si>
  <si>
    <t>A Survey of Research in Large Language Models for Electronic Design Automation</t>
  </si>
  <si>
    <t>Runjie Yu, Weizhou Huang, Shuhan Bai, Jian Zhou, and Fei Wu</t>
  </si>
  <si>
    <t>AquaPipe: A Quality-Aware Pipeline for Knowledge Retrieval and Large Language Models</t>
  </si>
  <si>
    <t>Zhen Zhu, Yibo Wang, Shouqing Yang, Lin Long, Runze Wu, Xiu Tang, Junbo Zhao, and Haobo Wang</t>
  </si>
  <si>
    <t>CORAL: Collaborative Automatic Labeling System Based on Large Language Models</t>
  </si>
  <si>
    <t>Minh-Thanh Bui, Matteo Boffa, Rodolfo Vieira Valentim, Jose Manuel Navarro, Fuxing Chen, Xiaosheng Bao, Zied Ben Houidi, and Dario Rossi</t>
  </si>
  <si>
    <t>A Systematic Comparison of Large Language Models Performance for Intrusion Detection</t>
  </si>
  <si>
    <t>Haopeng Zhang, Philip S. Yu, and Jiawei Zhang</t>
  </si>
  <si>
    <t>A Systematic Survey of Text Summarization: From Statistical Methods to Large Language Models</t>
  </si>
  <si>
    <t>Fengjie Li, Jiajun Jiang, Jiajun Sun, and Hongyu Zhang</t>
  </si>
  <si>
    <t>Hybrid Automated Program Repair by Combining Large Language Models and Program Analysis</t>
  </si>
  <si>
    <t>Jayr Pereira, Andre Assumpcao, Julio Trecenti, Luiz Airosa, Caio Lente, Jhonatan Cl\'{e}to, Guilherme Dobins, Rodrigo Nogueira, Luis Mitchell, and Roberto Lotufo</t>
  </si>
  <si>
    <t>INACIA: Integrating Large Language Models in Brazilian Audit Courts: Opportunities and Challenges</t>
  </si>
  <si>
    <t>Gun Il Kim, Sunga Hwang, and Beakcheol Jang</t>
  </si>
  <si>
    <t>Efficient Compressing and Tuning Methods for Large Language Models: A Systematic Literature Review</t>
  </si>
  <si>
    <t>Grace Ataguba and Rita Orji</t>
  </si>
  <si>
    <t>Exploring Large Language Models for Personalized Recipe Generation and Weight-Loss Management</t>
  </si>
  <si>
    <t>Fan Liu, Yaqi Liu, Huilin Chen, Zhiyong Cheng, Liqiang Nie, and Mohan Kankanhalli</t>
  </si>
  <si>
    <t>Understanding Before Recommendation: Semantic Aspect-Aware Review Exploitation via Large Language Models</t>
  </si>
  <si>
    <t>Yunjia Xi, Weiwen Liu, Jianghao Lin, Muyan Weng, Xiaoling Cai, Hong Zhu, Jieming Zhu, Bo Chen, Ruiming TANG, Yong Yu, and Weinan Zhang</t>
  </si>
  <si>
    <t>Efficient and Deployable Knowledge Infusion for Open-World Recommendations via Large Language Models</t>
  </si>
  <si>
    <t>Gina Sprint, Maureen Schmitter-Edgecombe, Raven Weaver, Lisa Wiese, and Diane J. Cook</t>
  </si>
  <si>
    <t>CogProg: Utilizing Large Language Models to Forecast In-the-moment Health Assessment</t>
  </si>
  <si>
    <t>Mengyi Yan, Yaoshu Wang, Yue Wang, Xiaoye Miao, and Jianxin Li</t>
  </si>
  <si>
    <t>GIDCL: A Graph-Enhanced Interpretable Data Cleaning Framework with Large Language Models</t>
  </si>
  <si>
    <t>Kedar Thiagarajan, Esteban Carisimo, and Fabi\'{a}n E. Bustamante</t>
  </si>
  <si>
    <t>The Aleph: Decoding Geographic Information from DNS PTR Records Using Large Language Models</t>
  </si>
  <si>
    <t>Ting Zhang, Ivana Clairine Irsan, Ferdian Thung, and David Lo</t>
  </si>
  <si>
    <t>Revisiting Sentiment Analysis for Software Engineering in the Era of Large Language Models</t>
  </si>
  <si>
    <t>Zhenyu Xu, Hailin Xu, Zhouyang Lu, Yingying Zhao, Rui Zhu, Yujiang Wang, Mingzhi Dong, Yuhu Chang, Qin Lv, Robert P. Dick, Fan Yang, Tun Lu, Ning Gu, and Li Shang</t>
  </si>
  <si>
    <t>Can Large Language Models Be Good Companions? An LLM-Based Eyewear System with Conversational Common Ground</t>
  </si>
  <si>
    <t>Zuoli Tang, Zhaoxin Huan, Zihao Li, Xiaolu Zhang, Jun Hu, Chilin Fu, Jun Zhou, Lixin Zou, and Chenliang Li</t>
  </si>
  <si>
    <t>One Model for All: Large Language Models are Domain-Agnostic Recommendation Systems</t>
  </si>
  <si>
    <t>Juan Morales-Garc\'{\i}a, Antonio Llanes, Francisco Arcas-T\'{u}nez, and Fernando Terroso-S\'{a}enz</t>
  </si>
  <si>
    <t>Developing Time Series Forecasting Models with Generative Large Language Models</t>
  </si>
  <si>
    <t>Aiwei Liu, Leyi Pan, Yijian Lu, Jingjing Li, Xuming Hu, Xi Zhang, Lijie Wen, Irwin King, Hui Xiong, and Philip Yu</t>
  </si>
  <si>
    <t>A Survey of Text Watermarking in the Era of Large Language Models</t>
  </si>
  <si>
    <t>Martin Weyssow, Xin Zhou, Kisub Kim, David Lo, and Houari Sahraoui</t>
  </si>
  <si>
    <t>Exploring Parameter-Efficient Fine-Tuning Techniques for Code Generation with Large Language Models</t>
  </si>
  <si>
    <t>Lizhou Fan, Lingyao Li, Zihui Ma, Sanggyu Lee, Huizi Yu, and Libby Hemphill</t>
  </si>
  <si>
    <t>A Bibliometric Review of Large Language Models Research from 2017 to 2023</t>
  </si>
  <si>
    <t>Eric D. Manley</t>
  </si>
  <si>
    <t>Getting Started with Large Language Models for the CS Curriculum</t>
  </si>
  <si>
    <t>Cuiyun Gao, Xing Hu, Shan Gao, Xin Xia, and Zhi Jin</t>
  </si>
  <si>
    <t>The Current Challenges of Software Engineering in the Era of Large Language Models</t>
  </si>
  <si>
    <t>Yuxi Li, Yi Liu, Gelei Deng, Ying Zhang, Wenjia Song, Ling Shi, Kailong Wang, Yuekang Li, Yang Liu, and Haoyu Wang</t>
  </si>
  <si>
    <t>Glitch Tokens in Large Language Models: Categorization Taxonomy and Effective Detection</t>
  </si>
  <si>
    <t>Chuanpeng Yang, Yao Zhu, Wang Lu, Yidong Wang, Qian Chen, Chenlong Gao, Bingjie Yan, and Yiqiang Chen</t>
  </si>
  <si>
    <t>Survey on Knowledge Distillation for Large Language Models: Methods, Evaluation, and Application</t>
  </si>
  <si>
    <t>Ningke Li, Yuekang Li, Yi Liu, Ling Shi, Kailong Wang, and Haoyu Wang</t>
  </si>
  <si>
    <t>Drowzee: Metamorphic Testing for Fact-Conflicting Hallucination Detection in Large Language Models</t>
  </si>
  <si>
    <t>Stefano Lambiase, Gemma Catolino, Fabio Palomba, Filomena Ferrucci, and Daniel Russo</t>
  </si>
  <si>
    <t>Investigating the Role of Cultural Values in Adopting Large Language Models for Software Engineering</t>
  </si>
  <si>
    <t>Zichuan Fu, Xiangyang Li, Chuhan Wu, Yichao Wang, Kuicai Dong, Xiangyu Zhao, Mengchen Zhao, Huifeng Guo, and Ruiming Tang</t>
  </si>
  <si>
    <t>A Unified Framework for Multi-Domain CTR Prediction via Large Language Models</t>
  </si>
  <si>
    <t>Pingchuan Ma, Zhaoyu Wang, Zongjie Li, Zhenlan Ji, Ao Sun, Juergen Rahmel, and Shuai Wang</t>
  </si>
  <si>
    <t>Reeq: Testing and Mitigating Ethically Inconsistent Suggestions of Large Language Models with Reflective Equilibrium</t>
  </si>
  <si>
    <t>Shuo Liu, Lin Zhang, Weidong Liu, Jianfeng Zhang, Donghui Gao, and Xiaofeng Jia</t>
  </si>
  <si>
    <t>The Evaluation Framework and Benchmark for Large Language Models in the Government Affairs Domain</t>
  </si>
  <si>
    <t>Nathaniel Pinckney, Christopher Batten, Mingjie Liu, Haoxing Ren, and Brucek Khailany</t>
  </si>
  <si>
    <t>Revisiting VerilogEval: A Year of Improvements in Large-Language Models for Hardware Code Generation</t>
  </si>
  <si>
    <t>Raul Castro Fernandez, Aaron J. Elmore, Michael J. Franklin, Sanjay Krishnan, and Chenhao Tan</t>
  </si>
  <si>
    <t>How Large Language Models Will Disrupt Data Management</t>
  </si>
  <si>
    <t>Sorouralsadat Fatemi, Yuheng Hu, and Maryam Mousavi</t>
  </si>
  <si>
    <t>A Comparative Analysis of Instruction Fine-Tuning Large Language Models for Financial Text Classification</t>
  </si>
  <si>
    <t>Zhiang Dong, Liya Hu, Jingyuan Chen, Zhihua Wang, and Fei Wu</t>
  </si>
  <si>
    <t>Comprehend Then Predict: Prompting Large Language Models for Recommendation with Semantic and Collaborative Data</t>
  </si>
  <si>
    <t>Jun-Peng Zhu, Peng Cai, Kai Xu, Li Li, Yishen Sun, Shuai Zhou, Haihuang Su, Liu Tang, and Qi Liu</t>
  </si>
  <si>
    <t>AutoTQA: Towards Autonomous Tabular Question Answering through Multi-Agent Large Language Models</t>
  </si>
  <si>
    <t>Yuanjie Lyu, Zhiyu Li, Simin Niu, Feiyu Xiong, Bo Tang, Wenjin Wang, Hao Wu, Huanyong Liu, Tong Xu, and Enhong Chen</t>
  </si>
  <si>
    <t>CRUD-RAG: A Comprehensive Chinese Benchmark for Retrieval-Augmented Generation of Large Language Models</t>
  </si>
  <si>
    <t>Lei Huang, Weijiang Yu, Weitao Ma, Weihong Zhong, Zhangyin Feng, Haotian Wang, Qianglong Chen, Weihua Peng, Xiaocheng Feng, Bing Qin, and Ting Liu</t>
  </si>
  <si>
    <t>A Survey on Hallucination in Large Language Models: Principles, Taxonomy, Challenges, and Open Questions</t>
  </si>
  <si>
    <t>Madeline Endres, Sarah Fakhoury, Saikat Chakraborty, and Shuvendu K. Lahiri</t>
  </si>
  <si>
    <t>Can Large Language Models Transform Natural Language Intent into Formal Method Postconditions? Proc</t>
  </si>
  <si>
    <t>Elahe Hosseini, Abhinav Srinivas, Najmeh Nazari, Charity Hale, Setareh Rafatirad, and Houman Homayoun</t>
  </si>
  <si>
    <t>Large Language Models for Opioid-Induced Respiratory Depression Prediction in Hospitalized Patients: A Retrospective Study</t>
  </si>
  <si>
    <t>Ju Fan, Zihui Gu, Songyue Zhang, Yuxin Zhang, Zui Chen, Lei Cao, Guoliang Li, Samuel Madden, Xiaoyong Du, and Nan Tang</t>
  </si>
  <si>
    <t>Combining Small Language Models and Large Language Models for Zero-Shot NL2SQL</t>
  </si>
  <si>
    <t>Junghwan Rhee, Aakankshya Shrestha, Gang Qian, Fei Zuo, Jicheng Fu, Myungah Park, Xianshan Qu, Goutam Mylavarapu, and Hong Sung</t>
  </si>
  <si>
    <t>An Evaluation on the Impact of Large Language Models on Computer Science Curricula</t>
  </si>
  <si>
    <t>Yongda Yu, Guoping Rong, Haifeng Shen, He Zhang, Dong Shao, Min Wang, Zhao Wei, Yong Xu, and Juhong Wang</t>
  </si>
  <si>
    <t>Fine-Tuning Large Language Models to Improve Accuracy and Comprehensibility of Automated Code Review</t>
  </si>
  <si>
    <t>Amara Tariq, Shubham Trivedi, Aisha Urooj, Gokul Ramasamy, Sam Fathizadeh, Matthew Stib, Nelly Tan, Bhavik Patel, and Imon Banerjee</t>
  </si>
  <si>
    <t>Patient-centric Summarization of Radiology Findings using Two-step Training of Large Language Models</t>
  </si>
  <si>
    <t>Jieke Shi, Zhou Yang, and David Lo</t>
  </si>
  <si>
    <t>Efficient and Green Large Language Models for Software Engineering: Vision and the Road Ahead</t>
  </si>
  <si>
    <t>Aritra Hota, Soumyajit Chatterjee, and Sandip Chakraborty</t>
  </si>
  <si>
    <t>Evaluating Large Language Models as Virtual Annotators for Time-series Physical Sensing Data</t>
  </si>
  <si>
    <t>Roberto Navigli, Simone Conia, and Bj\"{o}rn Ross</t>
  </si>
  <si>
    <t>Biases in Large Language Models: Origins, Inventory, and Discussion</t>
  </si>
  <si>
    <t>Tom Williams, Cynthia Matuszek, Ross Mead, and Nick Depalma</t>
  </si>
  <si>
    <t>Scarecrows in Oz: The Use of Large Language Models in HRI</t>
  </si>
  <si>
    <t>Ping Fan Ke and Ka Chung Ng</t>
  </si>
  <si>
    <t>Human-AI Synergy in Survey Development: Implications from Large Language Models in Business and Research</t>
  </si>
  <si>
    <t>Buse Carik, Kaike Ping, Xiaohan Ding, and Eugenia H. Rho</t>
  </si>
  <si>
    <t>Exploring Large Language Models Through a Neurodivergent Lens: Use, Challenges, Community-Driven Workarounds, and Concerns</t>
  </si>
  <si>
    <t>Lanling Xu, Junjie Zhang, Bingqian Li, Jinpeng Wang, Sheng Chen, Wayne Xin Zhao, and Ji-Rong Wen</t>
  </si>
  <si>
    <t>Tapping the Potential of Large Language Models as Recommender Systems: A Comprehensive Framework and Empirical Analysis</t>
  </si>
  <si>
    <t>Mengzhao Wang, Haotian Wu, Xiangyu Ke, Yunjun Gao, Xiaoliang Xu, and Lu Chen</t>
  </si>
  <si>
    <t>An Interactive Multi-Modal Query Answering System with Retrieval-Augmented Large Language Models</t>
  </si>
  <si>
    <t>Soneya Binta Hossain, Nan Jiang, Qiang Zhou, Xiaopeng Li, Wen-Hao Chiang, Yingjun Lyu, Hoan Nguyen, and Omer Tripp</t>
  </si>
  <si>
    <t>A Deep Dive into Large Language Models for Automated Bug Localization and Repair</t>
  </si>
  <si>
    <t>Feihu Jin, Yifan Liu, and Ying Tan</t>
  </si>
  <si>
    <t>Derivative-Free Optimization for Low-Rank Adaptation in Large Language Models. IEEE/ACM Trans. Audio, Speech and Lang</t>
  </si>
  <si>
    <t>Dawei Gao, Haibin Wang, Yaliang Li, Xiuyu Sun, Yichen Qian, Bolin Ding, and Jingren Zhou</t>
  </si>
  <si>
    <t>Text-to-SQL Empowered by Large Language Models: A Benchmark Evaluation</t>
  </si>
  <si>
    <t>Seungpil Lee, Woochang Sim, Donghyeon Shin, Wongyu Seo, Jiwon Park, Seokki Lee, Sanha Hwang, Sejin Kim, and Sundong Kim</t>
  </si>
  <si>
    <t>Reasoning Abilities of Large Language Models: In-Depth Analysis on the Abstraction and Reasoning Corpus</t>
  </si>
  <si>
    <t>Zejun Zhang, Zhenchang Xing, Xiaoxue Ren, Qinghua Lu, and Xiwei Xu</t>
  </si>
  <si>
    <t>Refactoring to Pythonic Idioms: A Hybrid Knowledge-Driven Approach Leveraging Large Language Models</t>
  </si>
  <si>
    <t>Zhen Yang, Fang Liu, Zhongxing Yu, Jacky Wai Keung, Jia Li, Shuo Liu, Yifan Hong, Xiaoxue Ma, Zhi Jin, and Ge Li</t>
  </si>
  <si>
    <t>Exploring and Unleashing the Power of Large Language Models in Automated Code Translation</t>
  </si>
  <si>
    <t>Bonan Kou, Shengmai Chen, Zhijie Wang, Lei Ma, and Tianyi Zhang</t>
  </si>
  <si>
    <t>Do Large Language Models Pay Similar Attention Like Human Programmers When Generating Code? Proc</t>
  </si>
  <si>
    <t>Haochun Wang, Sendong Zhao, Zewen Qiang, Zijian Li, Chi Liu, Nuwa Xi, Yanrui Du, Bing Qin, and Ting Liu</t>
  </si>
  <si>
    <t>Knowledge-tuning Large Language Models with Structured Medical Knowledge Bases for Trustworthy Response Generation in Chinese</t>
  </si>
  <si>
    <t>Anastasiia Hrytsyna and Rodrigo Alves</t>
  </si>
  <si>
    <t>From Representation to Response: Assessing the Alignment of Large Language Models with Human Judgment Patterns</t>
  </si>
  <si>
    <t>Michael Chau and Jennifer Xu</t>
  </si>
  <si>
    <t>An IS Research Agenda on Large Language Models: Development, Applications, and Impacts on Business and Management</t>
  </si>
  <si>
    <t>Yang Wu, Yao Wan, Hongyu Zhang, Yulei Sui, Wucai Wei, Wei Zhao, Guandong Xu, and Hai Jin</t>
  </si>
  <si>
    <t>Automated Data Visualization from Natural Language via Large Language Models: An Exploratory Study</t>
  </si>
  <si>
    <t>Yumeng Li, Bohong Chen, Zhong Ren, Yao-Xiang Ding, Libin Liu, Tianjia Shao, and Kun Zhou</t>
  </si>
  <si>
    <t>CPoser: An Optimization-after-Parsing Approach for Text-to-Pose Generation Using Large Language Models</t>
  </si>
  <si>
    <t>Siqiao Xue, Danrui Qi, Caigao Jiang, Fangyin Cheng, Keting Chen, Zhiping Zhang, Hongyang Zhang, Ganglin Wei, Wang Zhao, Fan Zhou, Hong Yi, Shaodong Liu, Hongjun Yang, and Faqiang Chen</t>
  </si>
  <si>
    <t>Demonstration of DB-GPT: Next Generation Data Interaction System Empowered by Large Language Models</t>
  </si>
  <si>
    <t>Jing Wei, Sungdong Kim, Hyunhoon Jung, and Young-Ho Kim</t>
  </si>
  <si>
    <t>Leveraging Large Language Models to Power Chatbots for Collecting User Self-Reported Data</t>
  </si>
  <si>
    <t>Luca Beurer-Kellner, Marc Fischer, and Martin Vechev</t>
  </si>
  <si>
    <t>Prompting Is Programming: A Query Language for Large Language Models</t>
  </si>
  <si>
    <t>Yan Wang, Xiaoning Li, Tien N. Nguyen, Shaohua Wang, Chao Ni, and Ling Ding</t>
  </si>
  <si>
    <t>Natural Is the Best: Model-Agnostic Code Simplification for Pre-trained Large Language Models</t>
  </si>
  <si>
    <t>Immanuel Trummer</t>
  </si>
  <si>
    <t>Generating Succinct Descriptions of Database Schemata for Cost-Efficient Prompting of Large Language Models</t>
  </si>
  <si>
    <t>Arash Dargahi Nobari and Davood Rafiei</t>
  </si>
  <si>
    <t>DTT: An Example-Driven Tabular Transformer for Joinability by Leveraging Large Language Models</t>
  </si>
  <si>
    <t>Jiayu Zhou, Manas Gaur, Amir M. Rahmani, Sharath Chandra Guntuku, Xiaofan (Fred) Jiang, and Tristan Naumann</t>
  </si>
  <si>
    <t>Introduction to the Special Issue on Large Language Models, Conversational Systems, and Generative AI in Health - Part 1</t>
  </si>
  <si>
    <t>Benjamin Feuer, Yurong Liu, Chinmay Hegde, and Juliana Freire</t>
  </si>
  <si>
    <t>ArcheType: A Novel Framework for Open-Source Column Type Annotation Using Large Language Models</t>
  </si>
  <si>
    <t>Subash Neupane, Shaswata Mitra, Sudip Mittal, Manas Gaur, Noorbakhsh Amiri Golilarz, Shahram Rahimi, and Amin Amirlatifi</t>
  </si>
  <si>
    <t>MedInsight: A Multi-Source Context Augmentation Framework for Generating Patient-Centric Medical Responses using Large Language Models</t>
  </si>
  <si>
    <t>Connor Lawless, Jakob Schoeffer, Lindy Le, Kael Rowan, Shilad Sen, Cristina St. Hill, Jina Suh, and Bahareh Sarrafzadeh</t>
  </si>
  <si>
    <t>â€œI Want It That Wayâ€_x009d_: Enabling Interactive Decision Support Using Large Language Models and Constraint Programming</t>
  </si>
  <si>
    <t>Anna-Katharina Dhungel</t>
  </si>
  <si>
    <t>â€œThis Verdict was Created with the Help of Generative AI...?â€_x009d_ On the Use of Large Language Models by Judges</t>
  </si>
  <si>
    <t>Ahmad A Bany Abdelnabi, Bulent Soykan, Danish Bhatti, and Ghaith Rabadi</t>
  </si>
  <si>
    <t>Usefulness of Large Language Models (LLMs) for Student Feedback on H&amp;amp;P During Clerkship: Artificial Intelligence for Personalized Learning</t>
  </si>
  <si>
    <t>Huiyuan Lai and Malvina Nissim</t>
  </si>
  <si>
    <t>A Survey on Automatic Generation of Figurative Language: From Rule-based Systems to Large Language Models</t>
  </si>
  <si>
    <t>Giancarlo Crocetti, Seonwoo Bak, Daena D. Vautor-Laplaceliere, and Naqib A. Noory</t>
  </si>
  <si>
    <t>Evaluating the Pedagogical Impact of Large Language Models on Programming Skills in Data Science Programs in Higher Education</t>
  </si>
  <si>
    <t>Yuka Kaniwa, Masaki Kuribayashi, Seita Kayukawa, Daisuke Sato, Hironobu Takagi, Chieko Asakawa, and Shigeo Morishima</t>
  </si>
  <si>
    <t>ChitChatGuide: Conversational Interaction Using Large Language Models for Assisting People with Visual Impairments to Explore a Shopping Mall</t>
  </si>
  <si>
    <t>Riku Arakawa, Jill Fain Lehman, and Mayank Goel</t>
  </si>
  <si>
    <t>PrISM-Q&amp;amp;A: Step-Aware Voice Assistant on a Smartwatch Enabled by Multimodal Procedure Tracking and Large Language Models</t>
  </si>
  <si>
    <t>Jinlong Xue, Yayue Deng, Yingming Gao, and Ya Li</t>
  </si>
  <si>
    <t>Auffusion: Leveraging the Power of Diffusion and Large Language Models for Text-to-Audio Generation. IEEE/ACM Trans. Audio, Speech and Lang</t>
  </si>
  <si>
    <t>Qian Wan, Siying Hu, Yu Zhang, Piaohong Wang, Bo Wen, and Zhicong Lu</t>
  </si>
  <si>
    <t>It Felt Like Having a Second Mind: Investigating Human-AI Co-creativity in Prewriting with Large Language Models</t>
  </si>
  <si>
    <t>Spencer Presley, Cole Barbes, and Junyi Tu</t>
  </si>
  <si>
    <t>Enhancing Academic Insight: Leveraging Web of Science Data with Large Language Models for Comprehensive Faculty and Article Analysis at Salisbury University*</t>
  </si>
  <si>
    <t>Alexey Karev and Dong Xu</t>
  </si>
  <si>
    <t>ConSCompF: Consistency-focused Similarity Comparison Framework for Generative Large Language Models</t>
  </si>
  <si>
    <t>Kaijie Zhu, Qinlin Zhao, Hao Chen, Jindong Wang, and Xing Xie</t>
  </si>
  <si>
    <t>PromptBench: a unified library for evaluation of large language models</t>
  </si>
  <si>
    <t>Moschoula Pternea, Prerna Singh, Abir Chakraborty, Yagna Oruganti, Mirco Milletari, Sayli Bapat, and Kebei Jiang</t>
  </si>
  <si>
    <t>The RL/LLM Taxonomy Tree: Reviewing Synergies Between Reinforcement Learning and Large Language Models</t>
  </si>
  <si>
    <t>Evan King, Haoxiang Yu, Sangsu Lee, and Christine Julien</t>
  </si>
  <si>
    <t>Sasha: Creative Goal-Oriented Reasoning in Smart Homes with Large Language Models</t>
  </si>
  <si>
    <t>Xuhai Xu, Bingsheng Yao, Yuanzhe Dong, Saadia Gabriel, Hong Yu, James Hendler, Marzyeh Ghassemi, Anind K. Dey, and Dakuo Wang</t>
  </si>
  <si>
    <t>Mental-LLM: Leveraging Large Language Models for Mental Health Prediction via Online Text Data</t>
  </si>
  <si>
    <t>Zachary Englhardt, Chengqian Ma, Margaret E. Morris, Chun-Cheng Chang, Xuhai "Orson" Xu, Lianhui Qin, Daniel McDuff, Xin Liu, Shwetak Patel, and Vikram Iyer</t>
  </si>
  <si>
    <t>From Classification to Clinical Insights: Towards Analyzing and Reasoning About Mobile and Behavioral Health Data With Large Language Models</t>
  </si>
  <si>
    <t>Ayachitula, Sriya (59314044600)</t>
  </si>
  <si>
    <t>Poster: Exploring Explainability Techniques for Large Language Model Classification Predictions</t>
  </si>
  <si>
    <t>Scopus</t>
  </si>
  <si>
    <t>Wu, Shi (59697693300); Zhou, Jianlong (35304393400); Dong, Yifei (57938222100); Chen, Fang (55714370100)</t>
  </si>
  <si>
    <t>No</t>
  </si>
  <si>
    <t>Hu, Yuanyuan (57215928954); Giacaman, Nasser (24528603500); Donald, Claire (52163422600)</t>
  </si>
  <si>
    <t>Enhancing Trust in Generative AI: Investigating Explainability of LLMs to Analyse Confusion in MOOC Discussions</t>
  </si>
  <si>
    <t>Kartikeya Badola, Shachi Dave, Partha Talukdar</t>
  </si>
  <si>
    <t xml:space="preserve">Parameter-Efficient Finetuning for Robust Continual Multilingual Learning
</t>
  </si>
  <si>
    <r>
      <rPr>
        <rFont val="Lucida Grande"/>
        <color rgb="FF000000"/>
      </rPr>
      <t>Vítor N. Lourenço</t>
    </r>
    <r>
      <rPr>
        <rFont val="Lucida Grande"/>
        <color theme="1"/>
      </rPr>
      <t xml:space="preserve">, </t>
    </r>
    <r>
      <rPr>
        <rFont val="&quot;Lucida Grande&quot;, Helvetica, Arial, sans-serif"/>
        <color rgb="FF000000"/>
      </rPr>
      <t>Mohnish Dubey</t>
    </r>
    <r>
      <rPr>
        <rFont val="Lucida Grande"/>
        <color theme="1"/>
      </rPr>
      <t xml:space="preserve">, </t>
    </r>
    <r>
      <rPr>
        <rFont val="&quot;Lucida Grande&quot;, Helvetica, Arial, sans-serif"/>
        <color rgb="FF000000"/>
      </rPr>
      <t>Yunfei Bai</t>
    </r>
    <r>
      <rPr>
        <rFont val="Lucida Grande"/>
        <color theme="1"/>
      </rPr>
      <t xml:space="preserve">, </t>
    </r>
    <r>
      <rPr>
        <rFont val="&quot;Lucida Grande&quot;, Helvetica, Arial, sans-serif"/>
        <color rgb="FF000000"/>
      </rPr>
      <t>Audrey Depeige</t>
    </r>
    <r>
      <rPr>
        <rFont val="Lucida Grande"/>
        <color theme="1"/>
      </rPr>
      <t xml:space="preserve">, </t>
    </r>
    <r>
      <rPr>
        <rFont val="&quot;Lucida Grande&quot;, Helvetica, Arial, sans-serif"/>
        <color rgb="FF000000"/>
      </rPr>
      <t>Vivek Jain</t>
    </r>
  </si>
  <si>
    <t>An Explainable Natural Language Framework for Identifying and Notifying Target Audiences In Enterprise Communication</t>
  </si>
  <si>
    <t>ISWC</t>
  </si>
  <si>
    <t>Ioannis Papagiannopoulos
Orcid
, 
Hercules Koutalidis
Orcid
, 
Panagiota Rempi
Orcid
, 
Christos Ntanos
Orcid
, 
Dimitrios Askounis</t>
  </si>
  <si>
    <t>Comparison of explainability methods for hallucination analysis in LLMs</t>
  </si>
  <si>
    <t>Leonardo Ranaldi</t>
  </si>
  <si>
    <t>Survey on the Role of Mechanistic Interpretability in Generative AI</t>
  </si>
  <si>
    <r>
      <rPr>
        <rFont val="Lucida Grande"/>
        <color rgb="FF000000"/>
      </rPr>
      <t>Muhammad Sharshar</t>
    </r>
    <r>
      <rPr>
        <rFont val="Lucida Grande"/>
        <color theme="1"/>
      </rPr>
      <t xml:space="preserve">, </t>
    </r>
    <r>
      <rPr>
        <rFont val="&quot;Lucida Grande&quot;, Helvetica, Arial, sans-serif"/>
        <color rgb="FF000000"/>
      </rPr>
      <t>Ahmad Mohammad Saber</t>
    </r>
    <r>
      <rPr>
        <rFont val="Lucida Grande"/>
        <color theme="1"/>
      </rPr>
      <t xml:space="preserve">, </t>
    </r>
    <r>
      <rPr>
        <rFont val="&quot;Lucida Grande&quot;, Helvetica, Arial, sans-serif"/>
        <color rgb="FF000000"/>
      </rPr>
      <t>Davor Svetinovic</t>
    </r>
    <r>
      <rPr>
        <rFont val="Lucida Grande"/>
        <color theme="1"/>
      </rPr>
      <t xml:space="preserve">, </t>
    </r>
    <r>
      <rPr>
        <rFont val="&quot;Lucida Grande&quot;, Helvetica, Arial, sans-serif"/>
        <color rgb="FF000000"/>
      </rPr>
      <t>Amr M. Youssef</t>
    </r>
    <r>
      <rPr>
        <rFont val="Lucida Grande"/>
        <color theme="1"/>
      </rPr>
      <t xml:space="preserve">, </t>
    </r>
    <r>
      <rPr>
        <rFont val="&quot;Lucida Grande&quot;, Helvetica, Arial, sans-serif"/>
        <color rgb="FF000000"/>
      </rPr>
      <t>Deepa Kundur</t>
    </r>
    <r>
      <rPr>
        <rFont val="Lucida Grande"/>
        <color theme="1"/>
      </rPr>
      <t xml:space="preserve">, </t>
    </r>
    <r>
      <rPr>
        <rFont val="&quot;Lucida Grande&quot;, Helvetica, Arial, sans-serif"/>
        <color rgb="FF000000"/>
      </rPr>
      <t>Ehab F. El-Saadany</t>
    </r>
  </si>
  <si>
    <t>Large Language Model-Based Framework for Explainable Cyberattack Detection in Automatic Generation Control Systems</t>
  </si>
  <si>
    <t xml:space="preserve">Munib Mesinovic, Peter Watkinson &amp; Tingting Zhu </t>
  </si>
  <si>
    <t>Explainability in the age of large language models for healthcare</t>
  </si>
  <si>
    <t>Ahan Ganguly, Ankan Dey, Sourik Bhuiya, Indranil Roy Banik, Subhabrata Sengupta &amp; Rupayan Das</t>
  </si>
  <si>
    <t>Augmenting Course Recommendations with Explainable AI: A Hybrid Approach Utilizing Large Language Models</t>
  </si>
  <si>
    <t>Lin Sheng
, 
Fangyuan Chang
, 
Qinghua Sun
, 
Danba Wangzha
, 
Zhenyu Gu</t>
  </si>
  <si>
    <t>Uncertainty reports as explainable AI: A cognitive-adaptive framework for human-AI decision systems in context tasks</t>
  </si>
  <si>
    <t>Sukanth Korkanti
Sydney, Australia</t>
  </si>
  <si>
    <t xml:space="preserve">Developing Explainable AI Models for Personalized Treatment Recommendations Using LLMs and EHR Data
</t>
  </si>
  <si>
    <t>Shova Kuikel, Aritran Piplai, Palvi Aggarwal</t>
  </si>
  <si>
    <t>Evaluating Large Language Models for Phishing Detection, Self-Consistency, Faithfulness, and Explainability</t>
  </si>
  <si>
    <t>Eva Paraschou, Ioannis Arapakis, Sofia Yfantidou, Sebastian Macaluso, Athena Vakali</t>
  </si>
  <si>
    <t>Mind the XAI Gap: A Human-Centered LLM Framework for Democratizing Explainable AI</t>
  </si>
  <si>
    <t>The 3rd World Conference on eXplainable Artificial Intelligence.</t>
  </si>
  <si>
    <t>Dipak P Upadhyaya 1, Katrina Prantzalos 1, Pedram Golnari 1, Aasef G Shaikh 2, Subhashini Sivagnanam 3, Amitava Majumdar 3, Fatema F Ghasia 4, Satya S Sahoo 1</t>
  </si>
  <si>
    <t xml:space="preserve">Explainable Artificial Intelligence (XAI) in the Era of Large Language Models: Applying an XAI Framework in Pediatric Ophthalmology Diagnosis using the Gemini Model
</t>
  </si>
  <si>
    <t>PubMed</t>
  </si>
  <si>
    <t xml:space="preserve"> George Papageorgiou 1ORCID,Vangelis Sarlis 1ORCID,Manolis Maragoudakis 2,*ORCID andChristos Tjortjis 1ORCID
1
</t>
  </si>
  <si>
    <t xml:space="preserve">Hybrid Multi-Agent GraphRAG for E-Government: Towards a Trustworthy AI Assistant
</t>
  </si>
  <si>
    <t>MDPI</t>
  </si>
  <si>
    <r>
      <rPr>
        <rFont val="Lucida Grande"/>
        <color rgb="FF000000"/>
      </rPr>
      <t>Yukun Zhang</t>
    </r>
    <r>
      <rPr>
        <rFont val="Lucida Grande"/>
        <color theme="1"/>
      </rPr>
      <t xml:space="preserve">, </t>
    </r>
    <r>
      <rPr>
        <rFont val="&quot;Lucida Grande&quot;, Helvetica, Arial, sans-serif"/>
        <color rgb="FF000000"/>
      </rPr>
      <t>Qi Dong</t>
    </r>
  </si>
  <si>
    <t>Multi-Scale Manifold Alignment: A Unified Framework for Enhanced Explainability of Large Language Models</t>
  </si>
  <si>
    <t>Zeinab Dehghani, Mohammed Naveed Akram, Koorosh Aslansefat, Adil Khan, Yiannis Papadopoulos</t>
  </si>
  <si>
    <t xml:space="preserve">Explaining Large Language Models with gSMILE
</t>
  </si>
  <si>
    <t>Sohan Gyawali; Yili Jiang; Jiaqi Huang</t>
  </si>
  <si>
    <t xml:space="preserve">In-Progress: Augmenting Explainable AI with LLMs to Enhance User Trust in Intelligent Transportation Systems
</t>
  </si>
  <si>
    <t>POPPI, SAMUELE</t>
  </si>
  <si>
    <t xml:space="preserve">Responsible AI in Vision and Language: Ensuring Safety, Ethics, and Transparency in Modern Models
</t>
  </si>
  <si>
    <t>Blessing Ogbuokiri</t>
  </si>
  <si>
    <t>Trustworthy and Responsible LLM</t>
  </si>
  <si>
    <t>Ghiasnezhad Omran, Pouya
Dixit, Tanya
Nikzad, Mohammad (Nick)
Taylor, Kerry</t>
  </si>
  <si>
    <t>Explainability in LLMs and the Role of Knowledge Representation and Reasoning: A Survey</t>
  </si>
  <si>
    <t>ANU</t>
  </si>
  <si>
    <t>David Herrera-Poyatos, Carlos Peláez-González, Cristina Zuheros, Virilo Tejedor, Rosana Montes, Francisco Herrera</t>
  </si>
  <si>
    <t xml:space="preserve">Triadic Fusion of Cognitive, Functional, and Causal Dimensions for Explainable LLMs: The TAXAL Framework
</t>
  </si>
  <si>
    <t>N. Jean, G. Le Pera</t>
  </si>
  <si>
    <t>Bridging Human Cognition and AI: A Framework for Explainable Decision-Making Systems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</si>
</sst>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color theme="1"/>
      <name val="Arial"/>
    </font>
    <font/>
    <font>
      <b/>
      <color rgb="FF212121"/>
      <name val="Arial"/>
    </font>
    <font>
      <color theme="1"/>
      <name val="Merriweather Sans"/>
    </font>
    <font>
      <color rgb="FF000000"/>
      <name val="Arial"/>
    </font>
  </fonts>
  <fills count="8">
    <fill>
      <patternFill patternType="none"/>
    </fill>
    <fill>
      <patternFill patternType="lightGray"/>
    </fill>
    <fill>
      <patternFill patternType="solid">
        <fgColor rgb="FF93C47D"/>
        <bgColor rgb="FF93C47D"/>
      </patternFill>
    </fill>
    <fill>
      <patternFill patternType="solid">
        <fgColor rgb="FFE06666"/>
        <bgColor rgb="FFE06666"/>
      </patternFill>
    </fill>
    <fill>
      <patternFill patternType="solid">
        <fgColor rgb="FFFFD966"/>
        <bgColor rgb="FFFFD966"/>
      </patternFill>
    </fill>
    <fill>
      <patternFill patternType="solid">
        <fgColor rgb="FFF6B26B"/>
        <bgColor rgb="FFF6B26B"/>
      </patternFill>
    </fill>
    <fill>
      <patternFill patternType="solid">
        <fgColor rgb="FFEFEFEF"/>
        <bgColor rgb="FFEFEFEF"/>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Border="1"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1" fillId="4" fontId="2" numFmtId="0" xfId="0" applyAlignment="1" applyBorder="1" applyFill="1" applyFont="1">
      <alignment horizontal="center" vertical="center"/>
    </xf>
    <xf borderId="1" fillId="5" fontId="2" numFmtId="0" xfId="0" applyAlignment="1" applyBorder="1" applyFill="1" applyFont="1">
      <alignment horizontal="center" shrinkToFit="0" vertical="center" wrapText="1"/>
    </xf>
    <xf borderId="0" fillId="0" fontId="2" numFmtId="0" xfId="0" applyAlignment="1" applyFont="1">
      <alignment horizontal="center" vertical="center"/>
    </xf>
    <xf borderId="2" fillId="6" fontId="2" numFmtId="0" xfId="0" applyAlignment="1" applyBorder="1" applyFill="1" applyFont="1">
      <alignment horizontal="center" vertical="bottom"/>
    </xf>
    <xf borderId="3" fillId="0" fontId="3" numFmtId="0" xfId="0" applyBorder="1" applyFont="1"/>
    <xf borderId="1" fillId="5" fontId="1" numFmtId="0" xfId="0" applyBorder="1" applyFont="1"/>
    <xf borderId="1" fillId="6" fontId="2" numFmtId="0" xfId="0" applyAlignment="1" applyBorder="1" applyFont="1">
      <alignment horizontal="center" shrinkToFit="0" vertical="bottom" wrapText="1"/>
    </xf>
    <xf borderId="0" fillId="0" fontId="4" numFmtId="0" xfId="0" applyAlignment="1" applyFont="1">
      <alignment horizontal="center" vertical="center"/>
    </xf>
    <xf borderId="1" fillId="2" fontId="4" numFmtId="0" xfId="0" applyAlignment="1" applyBorder="1" applyFont="1">
      <alignment horizontal="center" vertical="bottom"/>
    </xf>
    <xf borderId="1" fillId="2" fontId="4" numFmtId="0" xfId="0" applyAlignment="1" applyBorder="1" applyFont="1">
      <alignment horizontal="center" shrinkToFit="0" vertical="bottom" wrapText="1"/>
    </xf>
    <xf borderId="1" fillId="0" fontId="1" numFmtId="0" xfId="0" applyAlignment="1" applyBorder="1" applyFont="1">
      <alignment shrinkToFit="0" vertical="bottom" wrapText="1"/>
    </xf>
    <xf borderId="1" fillId="0" fontId="1" numFmtId="0" xfId="0" applyAlignment="1" applyBorder="1" applyFont="1">
      <alignment horizontal="right" shrinkToFit="0" vertical="bottom" wrapText="1"/>
    </xf>
    <xf borderId="1" fillId="3" fontId="4" numFmtId="0" xfId="0" applyAlignment="1" applyBorder="1" applyFont="1">
      <alignment horizontal="center" vertical="bottom"/>
    </xf>
    <xf borderId="1" fillId="3" fontId="4" numFmtId="0" xfId="0" applyAlignment="1" applyBorder="1" applyFont="1">
      <alignment horizontal="center" shrinkToFit="0" vertical="bottom" wrapText="1"/>
    </xf>
    <xf borderId="1" fillId="2" fontId="2" numFmtId="0" xfId="0" applyAlignment="1" applyBorder="1" applyFont="1">
      <alignment horizontal="center" readingOrder="0" vertical="center"/>
    </xf>
    <xf borderId="1" fillId="0" fontId="1" numFmtId="0" xfId="0" applyAlignment="1" applyBorder="1" applyFont="1">
      <alignment vertical="bottom"/>
    </xf>
    <xf borderId="1" fillId="3" fontId="2" numFmtId="0" xfId="0" applyAlignment="1" applyBorder="1" applyFont="1">
      <alignment horizontal="center" shrinkToFit="0" vertical="bottom" wrapText="1"/>
    </xf>
    <xf borderId="1" fillId="5" fontId="2" numFmtId="0" xfId="0" applyAlignment="1" applyBorder="1" applyFont="1">
      <alignment horizontal="center" shrinkToFit="0" wrapText="1"/>
    </xf>
    <xf borderId="1" fillId="0" fontId="4" numFmtId="0" xfId="0" applyAlignment="1" applyBorder="1" applyFont="1">
      <alignment horizontal="center" vertical="center"/>
    </xf>
    <xf borderId="0" fillId="0" fontId="4" numFmtId="0" xfId="0" applyAlignment="1" applyFont="1">
      <alignment horizontal="center" vertical="bottom"/>
    </xf>
    <xf borderId="1" fillId="0" fontId="4" numFmtId="0" xfId="0" applyAlignment="1" applyBorder="1" applyFont="1">
      <alignment horizontal="center" vertical="bottom"/>
    </xf>
    <xf borderId="1" fillId="0" fontId="4" numFmtId="0" xfId="0" applyAlignment="1" applyBorder="1" applyFont="1">
      <alignment horizontal="center" shrinkToFit="0" vertical="bottom" wrapText="1"/>
    </xf>
    <xf borderId="1" fillId="4" fontId="4" numFmtId="0" xfId="0" applyAlignment="1" applyBorder="1" applyFont="1">
      <alignment horizontal="center" vertical="center"/>
    </xf>
    <xf borderId="1" fillId="4" fontId="4" numFmtId="0" xfId="0" applyAlignment="1" applyBorder="1" applyFont="1">
      <alignment horizontal="center" shrinkToFit="0" vertical="center" wrapText="1"/>
    </xf>
    <xf borderId="0" fillId="0" fontId="4" numFmtId="0" xfId="0" applyAlignment="1" applyFont="1">
      <alignment horizontal="center"/>
    </xf>
    <xf borderId="0" fillId="0" fontId="4" numFmtId="0" xfId="0" applyAlignment="1" applyFont="1">
      <alignment horizontal="center" shrinkToFit="0" wrapText="1"/>
    </xf>
    <xf borderId="1" fillId="5" fontId="1" numFmtId="0" xfId="0" applyAlignment="1" applyBorder="1" applyFont="1">
      <alignment shrinkToFit="0" wrapText="1"/>
    </xf>
    <xf borderId="1" fillId="5" fontId="2" numFmtId="0" xfId="0" applyAlignment="1" applyBorder="1" applyFont="1">
      <alignment horizontal="center" vertical="center"/>
    </xf>
    <xf borderId="1" fillId="7" fontId="5" numFmtId="0" xfId="0" applyAlignment="1" applyBorder="1" applyFill="1" applyFont="1">
      <alignment shrinkToFit="0" vertical="center" wrapText="1"/>
    </xf>
    <xf borderId="1" fillId="7"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right" shrinkToFit="0" vertical="center" wrapText="1"/>
    </xf>
    <xf borderId="1" fillId="7" fontId="6" numFmtId="0" xfId="0" applyAlignment="1" applyBorder="1" applyFont="1">
      <alignment shrinkToFit="0" vertical="center" wrapText="1"/>
    </xf>
    <xf borderId="1" fillId="3" fontId="2" numFmtId="0" xfId="0" applyAlignment="1" applyBorder="1" applyFont="1">
      <alignment horizontal="center" readingOrder="0" vertical="center"/>
    </xf>
    <xf borderId="1" fillId="0" fontId="6" numFmtId="0" xfId="0" applyAlignment="1" applyBorder="1" applyFont="1">
      <alignment shrinkToFit="0" vertical="center" wrapText="1"/>
    </xf>
    <xf borderId="1" fillId="0"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75"/>
    <col customWidth="1" min="2" max="2" width="35.75"/>
    <col customWidth="1" min="3" max="3" width="26.13"/>
    <col customWidth="1" min="5" max="5" width="21.0"/>
    <col customWidth="1" min="6" max="6" width="9.38"/>
    <col customWidth="1" min="16" max="16" width="10.0"/>
    <col customWidth="1" min="17" max="17" width="33.5"/>
    <col customWidth="1" min="18" max="18" width="83.5"/>
  </cols>
  <sheetData>
    <row r="1" ht="15.75" customHeight="1">
      <c r="A1" s="1" t="s">
        <v>0</v>
      </c>
      <c r="B1" s="1" t="s">
        <v>1</v>
      </c>
      <c r="C1" s="1" t="s">
        <v>2</v>
      </c>
      <c r="D1" s="1" t="s">
        <v>3</v>
      </c>
      <c r="E1" s="1" t="s">
        <v>4</v>
      </c>
      <c r="F1" s="2"/>
      <c r="G1" s="3" t="s">
        <v>5</v>
      </c>
      <c r="H1" s="3" t="s">
        <v>6</v>
      </c>
      <c r="I1" s="4" t="s">
        <v>7</v>
      </c>
      <c r="J1" s="4" t="s">
        <v>8</v>
      </c>
      <c r="K1" s="4" t="s">
        <v>9</v>
      </c>
      <c r="L1" s="4" t="s">
        <v>10</v>
      </c>
      <c r="M1" s="4" t="s">
        <v>11</v>
      </c>
      <c r="N1" s="5" t="s">
        <v>12</v>
      </c>
      <c r="O1" s="6" t="s">
        <v>13</v>
      </c>
      <c r="P1" s="7"/>
      <c r="Q1" s="8" t="s">
        <v>14</v>
      </c>
      <c r="R1" s="9"/>
    </row>
    <row r="2" ht="15.75" customHeight="1">
      <c r="A2" s="1" t="s">
        <v>15</v>
      </c>
      <c r="B2" s="1" t="s">
        <v>16</v>
      </c>
      <c r="C2" s="1"/>
      <c r="D2" s="1"/>
      <c r="E2" s="1"/>
      <c r="F2" s="2"/>
      <c r="G2" s="3"/>
      <c r="H2" s="3" t="s">
        <v>17</v>
      </c>
      <c r="I2" s="4"/>
      <c r="J2" s="4" t="s">
        <v>17</v>
      </c>
      <c r="K2" s="4"/>
      <c r="L2" s="4"/>
      <c r="M2" s="4"/>
      <c r="N2" s="5" t="str">
        <f t="shared" ref="N2:N157" si="1">IF(OR(G2="x",H2="x",I2="x",K2="x",J2="x",L2="x",M2="x"), "No", "Yes")</f>
        <v>No</v>
      </c>
      <c r="O2" s="10" t="b">
        <f t="shared" ref="O2:O180" si="2">COUNTIF(B:B, B2)&gt;1</f>
        <v>0</v>
      </c>
      <c r="P2" s="7"/>
      <c r="Q2" s="11" t="s">
        <v>18</v>
      </c>
      <c r="R2" s="11" t="s">
        <v>19</v>
      </c>
    </row>
    <row r="3" ht="15.75" customHeight="1">
      <c r="A3" s="1" t="s">
        <v>20</v>
      </c>
      <c r="B3" s="1" t="s">
        <v>21</v>
      </c>
      <c r="C3" s="1"/>
      <c r="D3" s="1">
        <v>2024.0</v>
      </c>
      <c r="E3" s="1"/>
      <c r="F3" s="2"/>
      <c r="G3" s="3"/>
      <c r="H3" s="3"/>
      <c r="I3" s="4"/>
      <c r="J3" s="4"/>
      <c r="K3" s="4" t="s">
        <v>17</v>
      </c>
      <c r="L3" s="4"/>
      <c r="M3" s="4"/>
      <c r="N3" s="5" t="str">
        <f t="shared" si="1"/>
        <v>No</v>
      </c>
      <c r="O3" s="10" t="b">
        <f t="shared" si="2"/>
        <v>0</v>
      </c>
      <c r="P3" s="12"/>
      <c r="Q3" s="13" t="s">
        <v>5</v>
      </c>
      <c r="R3" s="14" t="s">
        <v>22</v>
      </c>
    </row>
    <row r="4" ht="15.75" customHeight="1">
      <c r="A4" s="15" t="s">
        <v>23</v>
      </c>
      <c r="B4" s="15" t="s">
        <v>24</v>
      </c>
      <c r="C4" s="15" t="s">
        <v>25</v>
      </c>
      <c r="D4" s="16">
        <v>2024.0</v>
      </c>
      <c r="E4" s="1"/>
      <c r="F4" s="2"/>
      <c r="G4" s="3"/>
      <c r="H4" s="3"/>
      <c r="I4" s="4"/>
      <c r="J4" s="4"/>
      <c r="K4" s="4"/>
      <c r="L4" s="4"/>
      <c r="M4" s="4"/>
      <c r="N4" s="5" t="str">
        <f t="shared" si="1"/>
        <v>Yes</v>
      </c>
      <c r="O4" s="10" t="b">
        <f t="shared" si="2"/>
        <v>0</v>
      </c>
      <c r="P4" s="12"/>
      <c r="Q4" s="13" t="s">
        <v>6</v>
      </c>
      <c r="R4" s="14" t="s">
        <v>26</v>
      </c>
    </row>
    <row r="5" ht="15.75" customHeight="1">
      <c r="A5" s="15" t="s">
        <v>27</v>
      </c>
      <c r="B5" s="15" t="s">
        <v>28</v>
      </c>
      <c r="C5" s="15" t="s">
        <v>29</v>
      </c>
      <c r="D5" s="16">
        <v>2024.0</v>
      </c>
      <c r="E5" s="15" t="s">
        <v>30</v>
      </c>
      <c r="F5" s="2"/>
      <c r="G5" s="3"/>
      <c r="H5" s="3"/>
      <c r="I5" s="4"/>
      <c r="J5" s="4"/>
      <c r="K5" s="4"/>
      <c r="L5" s="4"/>
      <c r="M5" s="4"/>
      <c r="N5" s="5" t="str">
        <f t="shared" si="1"/>
        <v>Yes</v>
      </c>
      <c r="O5" s="10" t="b">
        <f t="shared" si="2"/>
        <v>0</v>
      </c>
      <c r="P5" s="12"/>
      <c r="Q5" s="17" t="s">
        <v>7</v>
      </c>
      <c r="R5" s="18" t="s">
        <v>31</v>
      </c>
    </row>
    <row r="6" ht="15.75" customHeight="1">
      <c r="A6" s="15" t="s">
        <v>32</v>
      </c>
      <c r="B6" s="15" t="s">
        <v>33</v>
      </c>
      <c r="C6" s="15" t="s">
        <v>34</v>
      </c>
      <c r="D6" s="16">
        <v>2025.0</v>
      </c>
      <c r="E6" s="15" t="s">
        <v>35</v>
      </c>
      <c r="F6" s="2"/>
      <c r="G6" s="3"/>
      <c r="H6" s="3"/>
      <c r="I6" s="4"/>
      <c r="J6" s="4"/>
      <c r="K6" s="4"/>
      <c r="L6" s="4"/>
      <c r="M6" s="4"/>
      <c r="N6" s="5" t="str">
        <f t="shared" si="1"/>
        <v>Yes</v>
      </c>
      <c r="O6" s="10" t="b">
        <f t="shared" si="2"/>
        <v>0</v>
      </c>
      <c r="P6" s="12"/>
      <c r="Q6" s="17" t="s">
        <v>8</v>
      </c>
      <c r="R6" s="18" t="s">
        <v>36</v>
      </c>
    </row>
    <row r="7" ht="15.75" customHeight="1">
      <c r="A7" s="1" t="s">
        <v>37</v>
      </c>
      <c r="B7" s="1" t="s">
        <v>38</v>
      </c>
      <c r="C7" s="1" t="s">
        <v>39</v>
      </c>
      <c r="D7" s="1">
        <v>2024.0</v>
      </c>
      <c r="E7" s="1"/>
      <c r="F7" s="2"/>
      <c r="G7" s="3"/>
      <c r="H7" s="3"/>
      <c r="I7" s="4"/>
      <c r="J7" s="4"/>
      <c r="K7" s="4" t="s">
        <v>17</v>
      </c>
      <c r="L7" s="4"/>
      <c r="M7" s="4"/>
      <c r="N7" s="5" t="str">
        <f t="shared" si="1"/>
        <v>No</v>
      </c>
      <c r="O7" s="10" t="b">
        <f t="shared" si="2"/>
        <v>0</v>
      </c>
      <c r="P7" s="12"/>
      <c r="Q7" s="17" t="s">
        <v>9</v>
      </c>
      <c r="R7" s="18" t="s">
        <v>40</v>
      </c>
    </row>
    <row r="8" ht="15.75" customHeight="1">
      <c r="A8" s="1" t="s">
        <v>41</v>
      </c>
      <c r="B8" s="1" t="s">
        <v>42</v>
      </c>
      <c r="C8" s="1" t="s">
        <v>43</v>
      </c>
      <c r="D8" s="1">
        <v>2024.0</v>
      </c>
      <c r="E8" s="1"/>
      <c r="F8" s="2"/>
      <c r="G8" s="3"/>
      <c r="H8" s="19" t="s">
        <v>17</v>
      </c>
      <c r="I8" s="4"/>
      <c r="J8" s="4"/>
      <c r="K8" s="4"/>
      <c r="L8" s="4"/>
      <c r="M8" s="4"/>
      <c r="N8" s="5" t="str">
        <f t="shared" si="1"/>
        <v>No</v>
      </c>
      <c r="O8" s="10" t="b">
        <f t="shared" si="2"/>
        <v>0</v>
      </c>
      <c r="P8" s="12"/>
      <c r="Q8" s="17" t="s">
        <v>10</v>
      </c>
      <c r="R8" s="18" t="s">
        <v>44</v>
      </c>
    </row>
    <row r="9" ht="15.75" customHeight="1">
      <c r="A9" s="15" t="s">
        <v>45</v>
      </c>
      <c r="B9" s="15" t="s">
        <v>46</v>
      </c>
      <c r="C9" s="15" t="s">
        <v>47</v>
      </c>
      <c r="D9" s="16">
        <v>2024.0</v>
      </c>
      <c r="E9" s="15"/>
      <c r="F9" s="20"/>
      <c r="G9" s="3"/>
      <c r="H9" s="3"/>
      <c r="I9" s="4"/>
      <c r="J9" s="4"/>
      <c r="K9" s="4" t="s">
        <v>17</v>
      </c>
      <c r="L9" s="4"/>
      <c r="M9" s="4"/>
      <c r="N9" s="5" t="str">
        <f t="shared" si="1"/>
        <v>No</v>
      </c>
      <c r="O9" s="10" t="b">
        <f t="shared" si="2"/>
        <v>0</v>
      </c>
      <c r="P9" s="12"/>
      <c r="Q9" s="21" t="s">
        <v>11</v>
      </c>
      <c r="R9" s="21" t="s">
        <v>48</v>
      </c>
    </row>
    <row r="10" ht="15.75" customHeight="1">
      <c r="A10" s="15" t="s">
        <v>49</v>
      </c>
      <c r="B10" s="15" t="s">
        <v>50</v>
      </c>
      <c r="C10" s="15" t="s">
        <v>51</v>
      </c>
      <c r="D10" s="16">
        <v>2024.0</v>
      </c>
      <c r="E10" s="20" t="s">
        <v>52</v>
      </c>
      <c r="F10" s="20"/>
      <c r="G10" s="3"/>
      <c r="H10" s="3"/>
      <c r="I10" s="4"/>
      <c r="J10" s="4"/>
      <c r="K10" s="4"/>
      <c r="L10" s="4"/>
      <c r="M10" s="4"/>
      <c r="N10" s="5" t="str">
        <f t="shared" si="1"/>
        <v>Yes</v>
      </c>
      <c r="O10" s="10" t="b">
        <f t="shared" si="2"/>
        <v>0</v>
      </c>
      <c r="P10" s="12"/>
      <c r="Q10" s="22" t="s">
        <v>53</v>
      </c>
      <c r="R10" s="22" t="s">
        <v>13</v>
      </c>
    </row>
    <row r="11" ht="15.75" customHeight="1">
      <c r="A11" s="15" t="s">
        <v>54</v>
      </c>
      <c r="B11" s="15" t="s">
        <v>55</v>
      </c>
      <c r="C11" s="15" t="s">
        <v>56</v>
      </c>
      <c r="D11" s="16">
        <v>2024.0</v>
      </c>
      <c r="E11" s="15"/>
      <c r="F11" s="20"/>
      <c r="G11" s="3"/>
      <c r="H11" s="3" t="s">
        <v>17</v>
      </c>
      <c r="I11" s="4"/>
      <c r="J11" s="4"/>
      <c r="K11" s="4"/>
      <c r="L11" s="4"/>
      <c r="M11" s="4"/>
      <c r="N11" s="5" t="str">
        <f t="shared" si="1"/>
        <v>No</v>
      </c>
      <c r="O11" s="10" t="b">
        <f t="shared" si="2"/>
        <v>1</v>
      </c>
      <c r="P11" s="12"/>
      <c r="Q11" s="23"/>
      <c r="R11" s="23"/>
    </row>
    <row r="12" ht="15.75" customHeight="1">
      <c r="A12" s="15" t="s">
        <v>57</v>
      </c>
      <c r="B12" s="15" t="s">
        <v>58</v>
      </c>
      <c r="C12" s="20" t="s">
        <v>59</v>
      </c>
      <c r="D12" s="16">
        <v>2024.0</v>
      </c>
      <c r="E12" s="15"/>
      <c r="F12" s="20"/>
      <c r="G12" s="3"/>
      <c r="H12" s="3"/>
      <c r="I12" s="4"/>
      <c r="J12" s="4"/>
      <c r="K12" s="4" t="s">
        <v>17</v>
      </c>
      <c r="L12" s="4"/>
      <c r="M12" s="4"/>
      <c r="N12" s="5" t="str">
        <f t="shared" si="1"/>
        <v>No</v>
      </c>
      <c r="O12" s="10" t="b">
        <f t="shared" si="2"/>
        <v>0</v>
      </c>
      <c r="P12" s="24"/>
      <c r="Q12" s="25"/>
      <c r="R12" s="26"/>
    </row>
    <row r="13" ht="15.75" customHeight="1">
      <c r="A13" s="15" t="s">
        <v>60</v>
      </c>
      <c r="B13" s="15" t="s">
        <v>61</v>
      </c>
      <c r="C13" s="15" t="s">
        <v>62</v>
      </c>
      <c r="D13" s="16">
        <v>2025.0</v>
      </c>
      <c r="E13" s="15"/>
      <c r="F13" s="20"/>
      <c r="G13" s="3"/>
      <c r="H13" s="3"/>
      <c r="I13" s="4"/>
      <c r="J13" s="4"/>
      <c r="K13" s="4" t="s">
        <v>17</v>
      </c>
      <c r="L13" s="4"/>
      <c r="M13" s="4"/>
      <c r="N13" s="5" t="str">
        <f t="shared" si="1"/>
        <v>No</v>
      </c>
      <c r="O13" s="10" t="b">
        <f t="shared" si="2"/>
        <v>0</v>
      </c>
      <c r="P13" s="12"/>
      <c r="Q13" s="27" t="s">
        <v>63</v>
      </c>
      <c r="R13" s="28">
        <f>COUNTIF(N:N, "Yes")</f>
        <v>21</v>
      </c>
    </row>
    <row r="14" ht="15.75" customHeight="1">
      <c r="A14" s="15" t="s">
        <v>64</v>
      </c>
      <c r="B14" s="15" t="s">
        <v>65</v>
      </c>
      <c r="C14" s="15" t="s">
        <v>66</v>
      </c>
      <c r="D14" s="16">
        <v>2024.0</v>
      </c>
      <c r="E14" s="20"/>
      <c r="F14" s="20"/>
      <c r="G14" s="3"/>
      <c r="H14" s="3"/>
      <c r="I14" s="4"/>
      <c r="J14" s="4"/>
      <c r="K14" s="4" t="s">
        <v>17</v>
      </c>
      <c r="L14" s="4"/>
      <c r="M14" s="4"/>
      <c r="N14" s="5" t="str">
        <f t="shared" si="1"/>
        <v>No</v>
      </c>
      <c r="O14" s="10" t="b">
        <f t="shared" si="2"/>
        <v>0</v>
      </c>
    </row>
    <row r="15" ht="15.75" customHeight="1">
      <c r="A15" s="15" t="s">
        <v>67</v>
      </c>
      <c r="B15" s="15" t="s">
        <v>68</v>
      </c>
      <c r="C15" s="15" t="s">
        <v>69</v>
      </c>
      <c r="D15" s="16">
        <v>2024.0</v>
      </c>
      <c r="E15" s="15"/>
      <c r="F15" s="20"/>
      <c r="G15" s="3"/>
      <c r="H15" s="3"/>
      <c r="I15" s="4"/>
      <c r="J15" s="4"/>
      <c r="K15" s="4" t="s">
        <v>17</v>
      </c>
      <c r="L15" s="4"/>
      <c r="M15" s="4"/>
      <c r="N15" s="5" t="str">
        <f t="shared" si="1"/>
        <v>No</v>
      </c>
      <c r="O15" s="10" t="b">
        <f t="shared" si="2"/>
        <v>0</v>
      </c>
    </row>
    <row r="16" ht="15.75" customHeight="1">
      <c r="A16" s="15" t="s">
        <v>70</v>
      </c>
      <c r="B16" s="15" t="s">
        <v>71</v>
      </c>
      <c r="C16" s="15" t="s">
        <v>72</v>
      </c>
      <c r="D16" s="16">
        <v>2024.0</v>
      </c>
      <c r="E16" s="20"/>
      <c r="F16" s="20"/>
      <c r="G16" s="3"/>
      <c r="H16" s="3"/>
      <c r="I16" s="4"/>
      <c r="J16" s="4"/>
      <c r="K16" s="4" t="s">
        <v>17</v>
      </c>
      <c r="L16" s="4"/>
      <c r="M16" s="4"/>
      <c r="N16" s="5" t="str">
        <f t="shared" si="1"/>
        <v>No</v>
      </c>
      <c r="O16" s="10" t="b">
        <f t="shared" si="2"/>
        <v>0</v>
      </c>
    </row>
    <row r="17" ht="15.75" customHeight="1">
      <c r="A17" s="15" t="s">
        <v>73</v>
      </c>
      <c r="B17" s="15" t="s">
        <v>74</v>
      </c>
      <c r="C17" s="15" t="s">
        <v>75</v>
      </c>
      <c r="D17" s="16">
        <v>2024.0</v>
      </c>
      <c r="E17" s="20"/>
      <c r="F17" s="20"/>
      <c r="G17" s="3"/>
      <c r="H17" s="3" t="s">
        <v>17</v>
      </c>
      <c r="I17" s="4"/>
      <c r="J17" s="4"/>
      <c r="K17" s="4"/>
      <c r="L17" s="4"/>
      <c r="M17" s="4"/>
      <c r="N17" s="5" t="str">
        <f t="shared" si="1"/>
        <v>No</v>
      </c>
      <c r="O17" s="10" t="b">
        <f t="shared" si="2"/>
        <v>0</v>
      </c>
    </row>
    <row r="18" ht="15.75" customHeight="1">
      <c r="A18" s="15" t="s">
        <v>76</v>
      </c>
      <c r="B18" s="15" t="s">
        <v>77</v>
      </c>
      <c r="C18" s="15"/>
      <c r="D18" s="16"/>
      <c r="E18" s="15"/>
      <c r="F18" s="20"/>
      <c r="G18" s="3"/>
      <c r="H18" s="3"/>
      <c r="I18" s="4"/>
      <c r="J18" s="4"/>
      <c r="K18" s="4" t="s">
        <v>17</v>
      </c>
      <c r="L18" s="4"/>
      <c r="M18" s="4"/>
      <c r="N18" s="5" t="str">
        <f t="shared" si="1"/>
        <v>No</v>
      </c>
      <c r="O18" s="10" t="b">
        <f t="shared" si="2"/>
        <v>0</v>
      </c>
    </row>
    <row r="19" ht="15.75" customHeight="1">
      <c r="A19" s="15" t="s">
        <v>78</v>
      </c>
      <c r="B19" s="15" t="s">
        <v>79</v>
      </c>
      <c r="C19" s="15" t="s">
        <v>80</v>
      </c>
      <c r="D19" s="16"/>
      <c r="E19" s="15"/>
      <c r="F19" s="20"/>
      <c r="G19" s="3"/>
      <c r="H19" s="3"/>
      <c r="I19" s="4"/>
      <c r="J19" s="4"/>
      <c r="K19" s="4" t="s">
        <v>17</v>
      </c>
      <c r="L19" s="4"/>
      <c r="M19" s="4"/>
      <c r="N19" s="5" t="str">
        <f t="shared" si="1"/>
        <v>No</v>
      </c>
      <c r="O19" s="10" t="b">
        <f t="shared" si="2"/>
        <v>0</v>
      </c>
    </row>
    <row r="20" ht="15.75" customHeight="1">
      <c r="A20" s="15" t="s">
        <v>81</v>
      </c>
      <c r="B20" s="15" t="s">
        <v>82</v>
      </c>
      <c r="C20" s="15" t="s">
        <v>83</v>
      </c>
      <c r="D20" s="16">
        <v>2024.0</v>
      </c>
      <c r="E20" s="15"/>
      <c r="F20" s="20"/>
      <c r="G20" s="3"/>
      <c r="H20" s="3"/>
      <c r="I20" s="4"/>
      <c r="J20" s="4"/>
      <c r="K20" s="4" t="s">
        <v>17</v>
      </c>
      <c r="L20" s="4"/>
      <c r="M20" s="4"/>
      <c r="N20" s="5" t="str">
        <f t="shared" si="1"/>
        <v>No</v>
      </c>
      <c r="O20" s="10" t="b">
        <f t="shared" si="2"/>
        <v>0</v>
      </c>
    </row>
    <row r="21" ht="15.75" customHeight="1">
      <c r="A21" s="15" t="s">
        <v>84</v>
      </c>
      <c r="B21" s="15" t="s">
        <v>85</v>
      </c>
      <c r="C21" s="15"/>
      <c r="D21" s="16"/>
      <c r="E21" s="15"/>
      <c r="F21" s="20"/>
      <c r="G21" s="3"/>
      <c r="H21" s="3"/>
      <c r="I21" s="4"/>
      <c r="J21" s="4"/>
      <c r="K21" s="4" t="s">
        <v>17</v>
      </c>
      <c r="L21" s="4"/>
      <c r="M21" s="4"/>
      <c r="N21" s="5" t="str">
        <f t="shared" si="1"/>
        <v>No</v>
      </c>
      <c r="O21" s="10" t="b">
        <f t="shared" si="2"/>
        <v>0</v>
      </c>
    </row>
    <row r="22" ht="15.75" customHeight="1">
      <c r="A22" s="15" t="s">
        <v>86</v>
      </c>
      <c r="B22" s="15" t="s">
        <v>87</v>
      </c>
      <c r="C22" s="15"/>
      <c r="D22" s="16">
        <v>2025.0</v>
      </c>
      <c r="E22" s="15"/>
      <c r="F22" s="20"/>
      <c r="G22" s="3"/>
      <c r="H22" s="3"/>
      <c r="I22" s="4"/>
      <c r="J22" s="4"/>
      <c r="K22" s="4" t="s">
        <v>17</v>
      </c>
      <c r="L22" s="4"/>
      <c r="M22" s="4"/>
      <c r="N22" s="5" t="str">
        <f t="shared" si="1"/>
        <v>No</v>
      </c>
      <c r="O22" s="10" t="b">
        <f t="shared" si="2"/>
        <v>0</v>
      </c>
    </row>
    <row r="23" ht="15.75" customHeight="1">
      <c r="A23" s="15" t="s">
        <v>88</v>
      </c>
      <c r="B23" s="15" t="s">
        <v>89</v>
      </c>
      <c r="C23" s="15" t="s">
        <v>90</v>
      </c>
      <c r="D23" s="16">
        <v>2025.0</v>
      </c>
      <c r="E23" s="20"/>
      <c r="F23" s="20"/>
      <c r="G23" s="3"/>
      <c r="H23" s="3"/>
      <c r="I23" s="4"/>
      <c r="J23" s="4"/>
      <c r="K23" s="4" t="s">
        <v>17</v>
      </c>
      <c r="L23" s="4"/>
      <c r="M23" s="4"/>
      <c r="N23" s="5" t="str">
        <f t="shared" si="1"/>
        <v>No</v>
      </c>
      <c r="O23" s="10" t="b">
        <f t="shared" si="2"/>
        <v>0</v>
      </c>
    </row>
    <row r="24" ht="15.75" customHeight="1">
      <c r="A24" s="15" t="s">
        <v>91</v>
      </c>
      <c r="B24" s="15" t="s">
        <v>92</v>
      </c>
      <c r="C24" s="15" t="s">
        <v>93</v>
      </c>
      <c r="D24" s="16">
        <v>2025.0</v>
      </c>
      <c r="E24" s="15" t="s">
        <v>94</v>
      </c>
      <c r="F24" s="20"/>
      <c r="G24" s="3"/>
      <c r="H24" s="3" t="s">
        <v>17</v>
      </c>
      <c r="I24" s="4"/>
      <c r="J24" s="4"/>
      <c r="K24" s="4"/>
      <c r="L24" s="4"/>
      <c r="M24" s="4"/>
      <c r="N24" s="5" t="str">
        <f t="shared" si="1"/>
        <v>No</v>
      </c>
      <c r="O24" s="10" t="b">
        <f t="shared" si="2"/>
        <v>0</v>
      </c>
    </row>
    <row r="25" ht="15.75" customHeight="1">
      <c r="A25" s="15" t="s">
        <v>95</v>
      </c>
      <c r="B25" s="15" t="s">
        <v>96</v>
      </c>
      <c r="C25" s="15"/>
      <c r="D25" s="16"/>
      <c r="E25" s="15" t="s">
        <v>35</v>
      </c>
      <c r="F25" s="20"/>
      <c r="G25" s="3"/>
      <c r="H25" s="3"/>
      <c r="I25" s="4"/>
      <c r="J25" s="4"/>
      <c r="K25" s="4"/>
      <c r="L25" s="4"/>
      <c r="M25" s="4"/>
      <c r="N25" s="5" t="str">
        <f t="shared" si="1"/>
        <v>Yes</v>
      </c>
      <c r="O25" s="10" t="b">
        <f t="shared" si="2"/>
        <v>0</v>
      </c>
    </row>
    <row r="26" ht="15.75" customHeight="1">
      <c r="A26" s="15" t="s">
        <v>97</v>
      </c>
      <c r="B26" s="15" t="s">
        <v>98</v>
      </c>
      <c r="C26" s="15"/>
      <c r="D26" s="16"/>
      <c r="E26" s="15" t="s">
        <v>35</v>
      </c>
      <c r="F26" s="20"/>
      <c r="G26" s="3"/>
      <c r="H26" s="3"/>
      <c r="I26" s="4"/>
      <c r="J26" s="4"/>
      <c r="K26" s="4"/>
      <c r="L26" s="4"/>
      <c r="M26" s="4"/>
      <c r="N26" s="5" t="str">
        <f t="shared" si="1"/>
        <v>Yes</v>
      </c>
      <c r="O26" s="10" t="b">
        <f t="shared" si="2"/>
        <v>0</v>
      </c>
    </row>
    <row r="27" ht="15.75" customHeight="1">
      <c r="A27" s="15" t="s">
        <v>99</v>
      </c>
      <c r="B27" s="15" t="s">
        <v>100</v>
      </c>
      <c r="C27" s="15"/>
      <c r="D27" s="16"/>
      <c r="E27" s="15" t="s">
        <v>35</v>
      </c>
      <c r="F27" s="20"/>
      <c r="G27" s="3"/>
      <c r="H27" s="3"/>
      <c r="I27" s="4"/>
      <c r="J27" s="4"/>
      <c r="K27" s="4"/>
      <c r="L27" s="4"/>
      <c r="M27" s="4"/>
      <c r="N27" s="5" t="str">
        <f t="shared" si="1"/>
        <v>Yes</v>
      </c>
      <c r="O27" s="10" t="b">
        <f t="shared" si="2"/>
        <v>0</v>
      </c>
    </row>
    <row r="28" ht="15.75" customHeight="1">
      <c r="A28" s="15" t="s">
        <v>101</v>
      </c>
      <c r="B28" s="15" t="s">
        <v>102</v>
      </c>
      <c r="C28" s="15"/>
      <c r="D28" s="16">
        <v>2025.0</v>
      </c>
      <c r="E28" s="15" t="s">
        <v>103</v>
      </c>
      <c r="F28" s="20"/>
      <c r="G28" s="3"/>
      <c r="H28" s="3" t="s">
        <v>17</v>
      </c>
      <c r="I28" s="4"/>
      <c r="J28" s="4"/>
      <c r="K28" s="4"/>
      <c r="L28" s="4"/>
      <c r="M28" s="4"/>
      <c r="N28" s="5" t="str">
        <f t="shared" si="1"/>
        <v>No</v>
      </c>
      <c r="O28" s="10" t="b">
        <f t="shared" si="2"/>
        <v>0</v>
      </c>
    </row>
    <row r="29" ht="15.75" customHeight="1">
      <c r="A29" s="15" t="s">
        <v>104</v>
      </c>
      <c r="B29" s="15" t="s">
        <v>105</v>
      </c>
      <c r="C29" s="15"/>
      <c r="D29" s="16">
        <v>2024.0</v>
      </c>
      <c r="E29" s="15" t="s">
        <v>103</v>
      </c>
      <c r="F29" s="20"/>
      <c r="G29" s="3"/>
      <c r="H29" s="3"/>
      <c r="I29" s="4"/>
      <c r="J29" s="4"/>
      <c r="K29" s="4"/>
      <c r="L29" s="4"/>
      <c r="M29" s="4"/>
      <c r="N29" s="5" t="str">
        <f t="shared" si="1"/>
        <v>Yes</v>
      </c>
      <c r="O29" s="10" t="b">
        <f t="shared" si="2"/>
        <v>0</v>
      </c>
    </row>
    <row r="30" ht="15.75" customHeight="1">
      <c r="A30" s="15" t="s">
        <v>106</v>
      </c>
      <c r="B30" s="15" t="s">
        <v>107</v>
      </c>
      <c r="C30" s="15"/>
      <c r="D30" s="16">
        <v>2025.0</v>
      </c>
      <c r="E30" s="15" t="s">
        <v>103</v>
      </c>
      <c r="F30" s="20"/>
      <c r="G30" s="3"/>
      <c r="H30" s="3" t="s">
        <v>17</v>
      </c>
      <c r="I30" s="4"/>
      <c r="J30" s="4"/>
      <c r="K30" s="4"/>
      <c r="L30" s="4"/>
      <c r="M30" s="4"/>
      <c r="N30" s="5" t="str">
        <f t="shared" si="1"/>
        <v>No</v>
      </c>
      <c r="O30" s="10" t="b">
        <f t="shared" si="2"/>
        <v>0</v>
      </c>
    </row>
    <row r="31" ht="15.75" customHeight="1">
      <c r="A31" s="15" t="s">
        <v>108</v>
      </c>
      <c r="B31" s="15" t="s">
        <v>109</v>
      </c>
      <c r="C31" s="15"/>
      <c r="D31" s="16">
        <v>2025.0</v>
      </c>
      <c r="E31" s="20" t="s">
        <v>103</v>
      </c>
      <c r="F31" s="20"/>
      <c r="G31" s="3"/>
      <c r="H31" s="3" t="s">
        <v>17</v>
      </c>
      <c r="I31" s="4"/>
      <c r="J31" s="4"/>
      <c r="K31" s="4"/>
      <c r="L31" s="4"/>
      <c r="M31" s="4"/>
      <c r="N31" s="5" t="str">
        <f t="shared" si="1"/>
        <v>No</v>
      </c>
      <c r="O31" s="10" t="b">
        <f t="shared" si="2"/>
        <v>0</v>
      </c>
    </row>
    <row r="32" ht="15.75" customHeight="1">
      <c r="A32" s="15" t="s">
        <v>110</v>
      </c>
      <c r="B32" s="15" t="s">
        <v>111</v>
      </c>
      <c r="C32" s="15"/>
      <c r="D32" s="16">
        <v>2025.0</v>
      </c>
      <c r="E32" s="20" t="s">
        <v>103</v>
      </c>
      <c r="F32" s="20"/>
      <c r="G32" s="3"/>
      <c r="H32" s="3" t="s">
        <v>17</v>
      </c>
      <c r="I32" s="4"/>
      <c r="J32" s="4"/>
      <c r="K32" s="4"/>
      <c r="L32" s="4"/>
      <c r="M32" s="4"/>
      <c r="N32" s="5" t="str">
        <f t="shared" si="1"/>
        <v>No</v>
      </c>
      <c r="O32" s="10" t="b">
        <f t="shared" si="2"/>
        <v>0</v>
      </c>
    </row>
    <row r="33" ht="15.75" customHeight="1">
      <c r="A33" s="15" t="s">
        <v>112</v>
      </c>
      <c r="B33" s="15" t="s">
        <v>113</v>
      </c>
      <c r="C33" s="15"/>
      <c r="D33" s="16">
        <v>2025.0</v>
      </c>
      <c r="E33" s="15" t="s">
        <v>103</v>
      </c>
      <c r="F33" s="20"/>
      <c r="G33" s="3"/>
      <c r="H33" s="3" t="s">
        <v>17</v>
      </c>
      <c r="I33" s="4"/>
      <c r="J33" s="4"/>
      <c r="K33" s="4"/>
      <c r="L33" s="4"/>
      <c r="M33" s="4"/>
      <c r="N33" s="5" t="str">
        <f t="shared" si="1"/>
        <v>No</v>
      </c>
      <c r="O33" s="10" t="b">
        <f t="shared" si="2"/>
        <v>0</v>
      </c>
    </row>
    <row r="34" ht="15.75" customHeight="1">
      <c r="A34" s="15" t="s">
        <v>114</v>
      </c>
      <c r="B34" s="15" t="s">
        <v>115</v>
      </c>
      <c r="C34" s="15"/>
      <c r="D34" s="16">
        <v>2024.0</v>
      </c>
      <c r="E34" s="15" t="s">
        <v>103</v>
      </c>
      <c r="F34" s="20"/>
      <c r="G34" s="3"/>
      <c r="H34" s="3" t="s">
        <v>17</v>
      </c>
      <c r="I34" s="4"/>
      <c r="J34" s="4"/>
      <c r="K34" s="4"/>
      <c r="L34" s="4"/>
      <c r="M34" s="4"/>
      <c r="N34" s="5" t="str">
        <f t="shared" si="1"/>
        <v>No</v>
      </c>
      <c r="O34" s="10" t="b">
        <f t="shared" si="2"/>
        <v>0</v>
      </c>
    </row>
    <row r="35" ht="15.75" customHeight="1">
      <c r="A35" s="15" t="s">
        <v>116</v>
      </c>
      <c r="B35" s="15" t="s">
        <v>117</v>
      </c>
      <c r="C35" s="15"/>
      <c r="D35" s="16">
        <v>2024.0</v>
      </c>
      <c r="E35" s="20" t="s">
        <v>103</v>
      </c>
      <c r="F35" s="20"/>
      <c r="G35" s="3"/>
      <c r="H35" s="3" t="s">
        <v>17</v>
      </c>
      <c r="I35" s="4"/>
      <c r="J35" s="4"/>
      <c r="K35" s="4"/>
      <c r="L35" s="4"/>
      <c r="M35" s="4"/>
      <c r="N35" s="5" t="str">
        <f t="shared" si="1"/>
        <v>No</v>
      </c>
      <c r="O35" s="10" t="b">
        <f t="shared" si="2"/>
        <v>0</v>
      </c>
    </row>
    <row r="36" ht="15.75" customHeight="1">
      <c r="A36" s="15" t="s">
        <v>118</v>
      </c>
      <c r="B36" s="15" t="s">
        <v>119</v>
      </c>
      <c r="C36" s="20"/>
      <c r="D36" s="16">
        <v>2024.0</v>
      </c>
      <c r="E36" s="15" t="s">
        <v>103</v>
      </c>
      <c r="F36" s="20"/>
      <c r="G36" s="3"/>
      <c r="H36" s="3" t="s">
        <v>17</v>
      </c>
      <c r="I36" s="4"/>
      <c r="J36" s="4"/>
      <c r="K36" s="4"/>
      <c r="L36" s="4"/>
      <c r="M36" s="4"/>
      <c r="N36" s="5" t="str">
        <f t="shared" si="1"/>
        <v>No</v>
      </c>
      <c r="O36" s="10" t="b">
        <f t="shared" si="2"/>
        <v>0</v>
      </c>
    </row>
    <row r="37" ht="15.75" customHeight="1">
      <c r="A37" s="15" t="s">
        <v>120</v>
      </c>
      <c r="B37" s="15" t="s">
        <v>121</v>
      </c>
      <c r="C37" s="15"/>
      <c r="D37" s="16">
        <v>2025.0</v>
      </c>
      <c r="E37" s="15" t="s">
        <v>103</v>
      </c>
      <c r="F37" s="20"/>
      <c r="G37" s="3"/>
      <c r="H37" s="3" t="s">
        <v>17</v>
      </c>
      <c r="I37" s="4"/>
      <c r="J37" s="4"/>
      <c r="K37" s="4"/>
      <c r="L37" s="4"/>
      <c r="M37" s="4"/>
      <c r="N37" s="5" t="str">
        <f t="shared" si="1"/>
        <v>No</v>
      </c>
      <c r="O37" s="10" t="b">
        <f t="shared" si="2"/>
        <v>0</v>
      </c>
    </row>
    <row r="38" ht="15.75" customHeight="1">
      <c r="A38" s="15" t="s">
        <v>122</v>
      </c>
      <c r="B38" s="15" t="s">
        <v>123</v>
      </c>
      <c r="C38" s="15"/>
      <c r="D38" s="16">
        <v>2024.0</v>
      </c>
      <c r="E38" s="20" t="s">
        <v>103</v>
      </c>
      <c r="F38" s="20"/>
      <c r="G38" s="3"/>
      <c r="H38" s="3" t="s">
        <v>17</v>
      </c>
      <c r="I38" s="4"/>
      <c r="J38" s="4"/>
      <c r="K38" s="4"/>
      <c r="L38" s="4"/>
      <c r="M38" s="4"/>
      <c r="N38" s="5" t="str">
        <f t="shared" si="1"/>
        <v>No</v>
      </c>
      <c r="O38" s="10" t="b">
        <f t="shared" si="2"/>
        <v>0</v>
      </c>
    </row>
    <row r="39" ht="15.75" customHeight="1">
      <c r="A39" s="15" t="s">
        <v>124</v>
      </c>
      <c r="B39" s="15" t="s">
        <v>125</v>
      </c>
      <c r="C39" s="15"/>
      <c r="D39" s="16">
        <v>2024.0</v>
      </c>
      <c r="E39" s="15" t="s">
        <v>103</v>
      </c>
      <c r="F39" s="20"/>
      <c r="G39" s="3"/>
      <c r="H39" s="3" t="s">
        <v>17</v>
      </c>
      <c r="I39" s="4"/>
      <c r="J39" s="4"/>
      <c r="K39" s="4"/>
      <c r="L39" s="4"/>
      <c r="M39" s="4"/>
      <c r="N39" s="5" t="str">
        <f t="shared" si="1"/>
        <v>No</v>
      </c>
      <c r="O39" s="10" t="b">
        <f t="shared" si="2"/>
        <v>0</v>
      </c>
    </row>
    <row r="40" ht="15.75" customHeight="1">
      <c r="A40" s="15" t="s">
        <v>126</v>
      </c>
      <c r="B40" s="15" t="s">
        <v>127</v>
      </c>
      <c r="C40" s="15"/>
      <c r="D40" s="16">
        <v>2025.0</v>
      </c>
      <c r="E40" s="15" t="s">
        <v>103</v>
      </c>
      <c r="F40" s="20"/>
      <c r="G40" s="3"/>
      <c r="H40" s="3" t="s">
        <v>17</v>
      </c>
      <c r="I40" s="4"/>
      <c r="J40" s="4"/>
      <c r="K40" s="4"/>
      <c r="L40" s="4"/>
      <c r="M40" s="4"/>
      <c r="N40" s="5" t="str">
        <f t="shared" si="1"/>
        <v>No</v>
      </c>
      <c r="O40" s="10" t="b">
        <f t="shared" si="2"/>
        <v>0</v>
      </c>
    </row>
    <row r="41" ht="15.75" customHeight="1">
      <c r="A41" s="15" t="s">
        <v>128</v>
      </c>
      <c r="B41" s="15" t="s">
        <v>129</v>
      </c>
      <c r="C41" s="20"/>
      <c r="D41" s="16">
        <v>2025.0</v>
      </c>
      <c r="E41" s="20" t="s">
        <v>103</v>
      </c>
      <c r="F41" s="20"/>
      <c r="G41" s="3"/>
      <c r="H41" s="3" t="s">
        <v>17</v>
      </c>
      <c r="I41" s="4"/>
      <c r="J41" s="4"/>
      <c r="K41" s="4"/>
      <c r="L41" s="4"/>
      <c r="M41" s="4"/>
      <c r="N41" s="5" t="str">
        <f t="shared" si="1"/>
        <v>No</v>
      </c>
      <c r="O41" s="10" t="b">
        <f t="shared" si="2"/>
        <v>0</v>
      </c>
    </row>
    <row r="42" ht="15.75" customHeight="1">
      <c r="A42" s="15" t="s">
        <v>130</v>
      </c>
      <c r="B42" s="15" t="s">
        <v>131</v>
      </c>
      <c r="C42" s="15"/>
      <c r="D42" s="16">
        <v>2025.0</v>
      </c>
      <c r="E42" s="20" t="s">
        <v>103</v>
      </c>
      <c r="F42" s="20"/>
      <c r="G42" s="3"/>
      <c r="H42" s="3" t="s">
        <v>17</v>
      </c>
      <c r="I42" s="4"/>
      <c r="J42" s="4"/>
      <c r="K42" s="4"/>
      <c r="L42" s="4"/>
      <c r="M42" s="4"/>
      <c r="N42" s="5" t="str">
        <f t="shared" si="1"/>
        <v>No</v>
      </c>
      <c r="O42" s="10" t="b">
        <f t="shared" si="2"/>
        <v>0</v>
      </c>
    </row>
    <row r="43" ht="15.75" customHeight="1">
      <c r="A43" s="15" t="s">
        <v>132</v>
      </c>
      <c r="B43" s="15" t="s">
        <v>133</v>
      </c>
      <c r="C43" s="15"/>
      <c r="D43" s="16">
        <v>2025.0</v>
      </c>
      <c r="E43" s="15" t="s">
        <v>103</v>
      </c>
      <c r="F43" s="20"/>
      <c r="G43" s="3"/>
      <c r="H43" s="3" t="s">
        <v>17</v>
      </c>
      <c r="I43" s="4"/>
      <c r="J43" s="4"/>
      <c r="K43" s="4"/>
      <c r="L43" s="4"/>
      <c r="M43" s="4"/>
      <c r="N43" s="5" t="str">
        <f t="shared" si="1"/>
        <v>No</v>
      </c>
      <c r="O43" s="10" t="b">
        <f t="shared" si="2"/>
        <v>0</v>
      </c>
    </row>
    <row r="44" ht="15.75" customHeight="1">
      <c r="A44" s="15" t="s">
        <v>134</v>
      </c>
      <c r="B44" s="15" t="s">
        <v>135</v>
      </c>
      <c r="C44" s="15"/>
      <c r="D44" s="16">
        <v>2025.0</v>
      </c>
      <c r="E44" s="15" t="s">
        <v>103</v>
      </c>
      <c r="F44" s="20"/>
      <c r="G44" s="3"/>
      <c r="H44" s="3" t="s">
        <v>17</v>
      </c>
      <c r="I44" s="4"/>
      <c r="J44" s="4"/>
      <c r="K44" s="4"/>
      <c r="L44" s="4"/>
      <c r="M44" s="4"/>
      <c r="N44" s="5" t="str">
        <f t="shared" si="1"/>
        <v>No</v>
      </c>
      <c r="O44" s="10" t="b">
        <f t="shared" si="2"/>
        <v>0</v>
      </c>
    </row>
    <row r="45" ht="15.75" customHeight="1">
      <c r="A45" s="15" t="s">
        <v>136</v>
      </c>
      <c r="B45" s="15" t="s">
        <v>137</v>
      </c>
      <c r="C45" s="15"/>
      <c r="D45" s="16">
        <v>2024.0</v>
      </c>
      <c r="E45" s="15" t="s">
        <v>103</v>
      </c>
      <c r="F45" s="20"/>
      <c r="G45" s="3"/>
      <c r="H45" s="3" t="s">
        <v>17</v>
      </c>
      <c r="I45" s="4"/>
      <c r="J45" s="4"/>
      <c r="K45" s="4"/>
      <c r="L45" s="4"/>
      <c r="M45" s="4"/>
      <c r="N45" s="5" t="str">
        <f t="shared" si="1"/>
        <v>No</v>
      </c>
      <c r="O45" s="10" t="b">
        <f t="shared" si="2"/>
        <v>0</v>
      </c>
    </row>
    <row r="46" ht="15.75" customHeight="1">
      <c r="A46" s="15" t="s">
        <v>138</v>
      </c>
      <c r="B46" s="15" t="s">
        <v>139</v>
      </c>
      <c r="C46" s="20"/>
      <c r="D46" s="16">
        <v>2024.0</v>
      </c>
      <c r="E46" s="15" t="s">
        <v>103</v>
      </c>
      <c r="F46" s="20"/>
      <c r="G46" s="3"/>
      <c r="H46" s="3"/>
      <c r="I46" s="4"/>
      <c r="J46" s="4"/>
      <c r="K46" s="4"/>
      <c r="L46" s="4"/>
      <c r="M46" s="4"/>
      <c r="N46" s="5" t="str">
        <f t="shared" si="1"/>
        <v>Yes</v>
      </c>
      <c r="O46" s="10" t="b">
        <f t="shared" si="2"/>
        <v>0</v>
      </c>
    </row>
    <row r="47" ht="15.75" customHeight="1">
      <c r="A47" s="15" t="s">
        <v>140</v>
      </c>
      <c r="B47" s="15" t="s">
        <v>141</v>
      </c>
      <c r="C47" s="20"/>
      <c r="D47" s="16">
        <v>2025.0</v>
      </c>
      <c r="E47" s="15" t="s">
        <v>103</v>
      </c>
      <c r="F47" s="20"/>
      <c r="G47" s="3"/>
      <c r="H47" s="3" t="s">
        <v>17</v>
      </c>
      <c r="I47" s="4"/>
      <c r="J47" s="4"/>
      <c r="K47" s="4"/>
      <c r="L47" s="4"/>
      <c r="M47" s="4"/>
      <c r="N47" s="5" t="str">
        <f t="shared" si="1"/>
        <v>No</v>
      </c>
      <c r="O47" s="10" t="b">
        <f t="shared" si="2"/>
        <v>0</v>
      </c>
    </row>
    <row r="48" ht="15.75" customHeight="1">
      <c r="A48" s="15" t="s">
        <v>142</v>
      </c>
      <c r="B48" s="15" t="s">
        <v>143</v>
      </c>
      <c r="C48" s="15"/>
      <c r="D48" s="16">
        <v>2024.0</v>
      </c>
      <c r="E48" s="15" t="s">
        <v>103</v>
      </c>
      <c r="F48" s="20"/>
      <c r="G48" s="3"/>
      <c r="H48" s="3"/>
      <c r="I48" s="4"/>
      <c r="J48" s="4"/>
      <c r="K48" s="4"/>
      <c r="L48" s="4"/>
      <c r="M48" s="4"/>
      <c r="N48" s="5" t="str">
        <f t="shared" si="1"/>
        <v>Yes</v>
      </c>
      <c r="O48" s="10" t="b">
        <f t="shared" si="2"/>
        <v>0</v>
      </c>
    </row>
    <row r="49" ht="15.75" customHeight="1">
      <c r="A49" s="15" t="s">
        <v>144</v>
      </c>
      <c r="B49" s="15" t="s">
        <v>145</v>
      </c>
      <c r="C49" s="15"/>
      <c r="D49" s="16">
        <v>2025.0</v>
      </c>
      <c r="E49" s="15" t="s">
        <v>103</v>
      </c>
      <c r="F49" s="20"/>
      <c r="G49" s="3"/>
      <c r="H49" s="3" t="s">
        <v>17</v>
      </c>
      <c r="I49" s="4"/>
      <c r="J49" s="4"/>
      <c r="K49" s="4"/>
      <c r="L49" s="4"/>
      <c r="M49" s="4"/>
      <c r="N49" s="5" t="str">
        <f t="shared" si="1"/>
        <v>No</v>
      </c>
      <c r="O49" s="10" t="b">
        <f t="shared" si="2"/>
        <v>0</v>
      </c>
    </row>
    <row r="50" ht="15.75" customHeight="1">
      <c r="A50" s="15" t="s">
        <v>146</v>
      </c>
      <c r="B50" s="15" t="s">
        <v>147</v>
      </c>
      <c r="C50" s="20"/>
      <c r="D50" s="16">
        <v>2025.0</v>
      </c>
      <c r="E50" s="20" t="s">
        <v>103</v>
      </c>
      <c r="F50" s="20"/>
      <c r="G50" s="3"/>
      <c r="H50" s="3" t="s">
        <v>17</v>
      </c>
      <c r="I50" s="4"/>
      <c r="J50" s="4"/>
      <c r="K50" s="4"/>
      <c r="L50" s="4"/>
      <c r="M50" s="4"/>
      <c r="N50" s="5" t="str">
        <f t="shared" si="1"/>
        <v>No</v>
      </c>
      <c r="O50" s="10" t="b">
        <f t="shared" si="2"/>
        <v>0</v>
      </c>
    </row>
    <row r="51" ht="15.75" customHeight="1">
      <c r="A51" s="15" t="s">
        <v>148</v>
      </c>
      <c r="B51" s="15" t="s">
        <v>149</v>
      </c>
      <c r="C51" s="15"/>
      <c r="D51" s="16">
        <v>2025.0</v>
      </c>
      <c r="E51" s="15" t="s">
        <v>103</v>
      </c>
      <c r="F51" s="20"/>
      <c r="G51" s="3"/>
      <c r="H51" s="3" t="s">
        <v>17</v>
      </c>
      <c r="I51" s="4"/>
      <c r="J51" s="4"/>
      <c r="K51" s="4"/>
      <c r="L51" s="4"/>
      <c r="M51" s="4"/>
      <c r="N51" s="5" t="str">
        <f t="shared" si="1"/>
        <v>No</v>
      </c>
      <c r="O51" s="10" t="b">
        <f t="shared" si="2"/>
        <v>0</v>
      </c>
    </row>
    <row r="52" ht="15.75" customHeight="1">
      <c r="A52" s="15" t="s">
        <v>150</v>
      </c>
      <c r="B52" s="15" t="s">
        <v>151</v>
      </c>
      <c r="C52" s="15"/>
      <c r="D52" s="16">
        <v>2024.0</v>
      </c>
      <c r="E52" s="15" t="s">
        <v>103</v>
      </c>
      <c r="F52" s="20"/>
      <c r="G52" s="3"/>
      <c r="H52" s="3" t="s">
        <v>17</v>
      </c>
      <c r="I52" s="4"/>
      <c r="J52" s="4"/>
      <c r="K52" s="4"/>
      <c r="L52" s="4"/>
      <c r="M52" s="4"/>
      <c r="N52" s="5" t="str">
        <f t="shared" si="1"/>
        <v>No</v>
      </c>
      <c r="O52" s="10" t="b">
        <f t="shared" si="2"/>
        <v>0</v>
      </c>
    </row>
    <row r="53" ht="15.75" customHeight="1">
      <c r="A53" s="15" t="s">
        <v>152</v>
      </c>
      <c r="B53" s="15" t="s">
        <v>153</v>
      </c>
      <c r="C53" s="15"/>
      <c r="D53" s="16">
        <v>2025.0</v>
      </c>
      <c r="E53" s="15" t="s">
        <v>103</v>
      </c>
      <c r="F53" s="20"/>
      <c r="G53" s="3"/>
      <c r="H53" s="3" t="s">
        <v>17</v>
      </c>
      <c r="I53" s="4"/>
      <c r="J53" s="4"/>
      <c r="K53" s="4"/>
      <c r="L53" s="4"/>
      <c r="M53" s="4"/>
      <c r="N53" s="5" t="str">
        <f t="shared" si="1"/>
        <v>No</v>
      </c>
      <c r="O53" s="10" t="b">
        <f t="shared" si="2"/>
        <v>0</v>
      </c>
    </row>
    <row r="54" ht="15.75" customHeight="1">
      <c r="A54" s="15" t="s">
        <v>154</v>
      </c>
      <c r="B54" s="15" t="s">
        <v>155</v>
      </c>
      <c r="C54" s="15"/>
      <c r="D54" s="16">
        <v>2024.0</v>
      </c>
      <c r="E54" s="20" t="s">
        <v>103</v>
      </c>
      <c r="F54" s="20"/>
      <c r="G54" s="3"/>
      <c r="H54" s="3" t="s">
        <v>17</v>
      </c>
      <c r="I54" s="4"/>
      <c r="J54" s="4"/>
      <c r="K54" s="4"/>
      <c r="L54" s="4"/>
      <c r="M54" s="4"/>
      <c r="N54" s="5" t="str">
        <f t="shared" si="1"/>
        <v>No</v>
      </c>
      <c r="O54" s="10" t="b">
        <f t="shared" si="2"/>
        <v>0</v>
      </c>
    </row>
    <row r="55" ht="15.75" customHeight="1">
      <c r="A55" s="15" t="s">
        <v>156</v>
      </c>
      <c r="B55" s="15" t="s">
        <v>157</v>
      </c>
      <c r="C55" s="15"/>
      <c r="D55" s="16">
        <v>2025.0</v>
      </c>
      <c r="E55" s="15" t="s">
        <v>103</v>
      </c>
      <c r="F55" s="20"/>
      <c r="G55" s="3"/>
      <c r="H55" s="3" t="s">
        <v>17</v>
      </c>
      <c r="I55" s="4"/>
      <c r="J55" s="4"/>
      <c r="K55" s="4"/>
      <c r="L55" s="4"/>
      <c r="M55" s="4"/>
      <c r="N55" s="5" t="str">
        <f t="shared" si="1"/>
        <v>No</v>
      </c>
      <c r="O55" s="10" t="b">
        <f t="shared" si="2"/>
        <v>0</v>
      </c>
    </row>
    <row r="56" ht="15.75" customHeight="1">
      <c r="A56" s="15" t="s">
        <v>158</v>
      </c>
      <c r="B56" s="15" t="s">
        <v>159</v>
      </c>
      <c r="C56" s="15"/>
      <c r="D56" s="16">
        <v>2025.0</v>
      </c>
      <c r="E56" s="20" t="s">
        <v>103</v>
      </c>
      <c r="F56" s="20"/>
      <c r="G56" s="3"/>
      <c r="H56" s="3" t="s">
        <v>17</v>
      </c>
      <c r="I56" s="4"/>
      <c r="J56" s="4"/>
      <c r="K56" s="4"/>
      <c r="L56" s="4"/>
      <c r="M56" s="4"/>
      <c r="N56" s="5" t="str">
        <f t="shared" si="1"/>
        <v>No</v>
      </c>
      <c r="O56" s="10" t="b">
        <f t="shared" si="2"/>
        <v>0</v>
      </c>
    </row>
    <row r="57" ht="15.75" customHeight="1">
      <c r="A57" s="15" t="s">
        <v>160</v>
      </c>
      <c r="B57" s="15" t="s">
        <v>161</v>
      </c>
      <c r="C57" s="15"/>
      <c r="D57" s="16">
        <v>2024.0</v>
      </c>
      <c r="E57" s="20" t="s">
        <v>103</v>
      </c>
      <c r="F57" s="20"/>
      <c r="G57" s="3"/>
      <c r="H57" s="3" t="s">
        <v>17</v>
      </c>
      <c r="I57" s="4"/>
      <c r="J57" s="4"/>
      <c r="K57" s="4"/>
      <c r="L57" s="4"/>
      <c r="M57" s="4"/>
      <c r="N57" s="5" t="str">
        <f t="shared" si="1"/>
        <v>No</v>
      </c>
      <c r="O57" s="10" t="b">
        <f t="shared" si="2"/>
        <v>0</v>
      </c>
    </row>
    <row r="58" ht="15.75" customHeight="1">
      <c r="A58" s="15" t="s">
        <v>162</v>
      </c>
      <c r="B58" s="15" t="s">
        <v>163</v>
      </c>
      <c r="C58" s="15"/>
      <c r="D58" s="16">
        <v>2024.0</v>
      </c>
      <c r="E58" s="15" t="s">
        <v>103</v>
      </c>
      <c r="F58" s="20"/>
      <c r="G58" s="3"/>
      <c r="H58" s="3" t="s">
        <v>17</v>
      </c>
      <c r="I58" s="4"/>
      <c r="J58" s="4"/>
      <c r="K58" s="4"/>
      <c r="L58" s="4"/>
      <c r="M58" s="4"/>
      <c r="N58" s="5" t="str">
        <f t="shared" si="1"/>
        <v>No</v>
      </c>
      <c r="O58" s="10" t="b">
        <f t="shared" si="2"/>
        <v>0</v>
      </c>
    </row>
    <row r="59" ht="15.75" customHeight="1">
      <c r="A59" s="15" t="s">
        <v>164</v>
      </c>
      <c r="B59" s="15" t="s">
        <v>165</v>
      </c>
      <c r="C59" s="15"/>
      <c r="D59" s="16">
        <v>2025.0</v>
      </c>
      <c r="E59" s="15" t="s">
        <v>103</v>
      </c>
      <c r="F59" s="20"/>
      <c r="G59" s="3"/>
      <c r="H59" s="3" t="s">
        <v>17</v>
      </c>
      <c r="I59" s="4"/>
      <c r="J59" s="4"/>
      <c r="K59" s="4"/>
      <c r="L59" s="4"/>
      <c r="M59" s="4"/>
      <c r="N59" s="5" t="str">
        <f t="shared" si="1"/>
        <v>No</v>
      </c>
      <c r="O59" s="10" t="b">
        <f t="shared" si="2"/>
        <v>0</v>
      </c>
    </row>
    <row r="60" ht="15.75" customHeight="1">
      <c r="A60" s="15" t="s">
        <v>166</v>
      </c>
      <c r="B60" s="15" t="s">
        <v>167</v>
      </c>
      <c r="C60" s="15"/>
      <c r="D60" s="16">
        <v>2025.0</v>
      </c>
      <c r="E60" s="15" t="s">
        <v>103</v>
      </c>
      <c r="F60" s="20"/>
      <c r="G60" s="3"/>
      <c r="H60" s="3" t="s">
        <v>17</v>
      </c>
      <c r="I60" s="4"/>
      <c r="J60" s="4"/>
      <c r="K60" s="4"/>
      <c r="L60" s="4"/>
      <c r="M60" s="4"/>
      <c r="N60" s="5" t="str">
        <f t="shared" si="1"/>
        <v>No</v>
      </c>
      <c r="O60" s="10" t="b">
        <f t="shared" si="2"/>
        <v>0</v>
      </c>
    </row>
    <row r="61" ht="15.75" customHeight="1">
      <c r="A61" s="15" t="s">
        <v>168</v>
      </c>
      <c r="B61" s="15" t="s">
        <v>169</v>
      </c>
      <c r="C61" s="15"/>
      <c r="D61" s="16">
        <v>2024.0</v>
      </c>
      <c r="E61" s="15" t="s">
        <v>103</v>
      </c>
      <c r="F61" s="20"/>
      <c r="G61" s="3"/>
      <c r="H61" s="3" t="s">
        <v>17</v>
      </c>
      <c r="I61" s="4"/>
      <c r="J61" s="4"/>
      <c r="K61" s="4"/>
      <c r="L61" s="4"/>
      <c r="M61" s="4"/>
      <c r="N61" s="5" t="str">
        <f t="shared" si="1"/>
        <v>No</v>
      </c>
      <c r="O61" s="10" t="b">
        <f t="shared" si="2"/>
        <v>0</v>
      </c>
    </row>
    <row r="62" ht="15.75" customHeight="1">
      <c r="A62" s="15" t="s">
        <v>170</v>
      </c>
      <c r="B62" s="15" t="s">
        <v>171</v>
      </c>
      <c r="C62" s="15"/>
      <c r="D62" s="16">
        <v>2024.0</v>
      </c>
      <c r="E62" s="15" t="s">
        <v>103</v>
      </c>
      <c r="F62" s="20"/>
      <c r="G62" s="3"/>
      <c r="H62" s="3" t="s">
        <v>17</v>
      </c>
      <c r="I62" s="4"/>
      <c r="J62" s="4"/>
      <c r="K62" s="4"/>
      <c r="L62" s="4"/>
      <c r="M62" s="4"/>
      <c r="N62" s="5" t="str">
        <f t="shared" si="1"/>
        <v>No</v>
      </c>
      <c r="O62" s="10" t="b">
        <f t="shared" si="2"/>
        <v>0</v>
      </c>
    </row>
    <row r="63" ht="15.75" customHeight="1">
      <c r="A63" s="15" t="s">
        <v>172</v>
      </c>
      <c r="B63" s="15" t="s">
        <v>173</v>
      </c>
      <c r="C63" s="20"/>
      <c r="D63" s="16">
        <v>2025.0</v>
      </c>
      <c r="E63" s="15" t="s">
        <v>103</v>
      </c>
      <c r="F63" s="20"/>
      <c r="G63" s="3"/>
      <c r="H63" s="3" t="s">
        <v>17</v>
      </c>
      <c r="I63" s="4"/>
      <c r="J63" s="4"/>
      <c r="K63" s="4"/>
      <c r="L63" s="4"/>
      <c r="M63" s="4"/>
      <c r="N63" s="5" t="str">
        <f t="shared" si="1"/>
        <v>No</v>
      </c>
      <c r="O63" s="10" t="b">
        <f t="shared" si="2"/>
        <v>0</v>
      </c>
    </row>
    <row r="64" ht="15.75" customHeight="1">
      <c r="A64" s="15" t="s">
        <v>174</v>
      </c>
      <c r="B64" s="15" t="s">
        <v>175</v>
      </c>
      <c r="C64" s="15"/>
      <c r="D64" s="16">
        <v>2025.0</v>
      </c>
      <c r="E64" s="15" t="s">
        <v>103</v>
      </c>
      <c r="F64" s="20"/>
      <c r="G64" s="3"/>
      <c r="H64" s="3" t="s">
        <v>17</v>
      </c>
      <c r="I64" s="4"/>
      <c r="J64" s="4"/>
      <c r="K64" s="4"/>
      <c r="L64" s="4"/>
      <c r="M64" s="4"/>
      <c r="N64" s="5" t="str">
        <f t="shared" si="1"/>
        <v>No</v>
      </c>
      <c r="O64" s="10" t="b">
        <f t="shared" si="2"/>
        <v>0</v>
      </c>
    </row>
    <row r="65" ht="15.75" customHeight="1">
      <c r="A65" s="15" t="s">
        <v>176</v>
      </c>
      <c r="B65" s="15" t="s">
        <v>177</v>
      </c>
      <c r="C65" s="15"/>
      <c r="D65" s="16">
        <v>2025.0</v>
      </c>
      <c r="E65" s="15" t="s">
        <v>103</v>
      </c>
      <c r="F65" s="20"/>
      <c r="G65" s="3"/>
      <c r="H65" s="3" t="s">
        <v>17</v>
      </c>
      <c r="I65" s="4"/>
      <c r="J65" s="4"/>
      <c r="K65" s="4"/>
      <c r="L65" s="4"/>
      <c r="M65" s="4"/>
      <c r="N65" s="5" t="str">
        <f t="shared" si="1"/>
        <v>No</v>
      </c>
      <c r="O65" s="10" t="b">
        <f t="shared" si="2"/>
        <v>0</v>
      </c>
    </row>
    <row r="66" ht="15.75" customHeight="1">
      <c r="A66" s="15" t="s">
        <v>178</v>
      </c>
      <c r="B66" s="15" t="s">
        <v>179</v>
      </c>
      <c r="C66" s="20"/>
      <c r="D66" s="16">
        <v>2025.0</v>
      </c>
      <c r="E66" s="20" t="s">
        <v>103</v>
      </c>
      <c r="F66" s="20"/>
      <c r="G66" s="3"/>
      <c r="H66" s="3" t="s">
        <v>17</v>
      </c>
      <c r="I66" s="4"/>
      <c r="J66" s="4"/>
      <c r="K66" s="4"/>
      <c r="L66" s="4"/>
      <c r="M66" s="4"/>
      <c r="N66" s="5" t="str">
        <f t="shared" si="1"/>
        <v>No</v>
      </c>
      <c r="O66" s="10" t="b">
        <f t="shared" si="2"/>
        <v>0</v>
      </c>
    </row>
    <row r="67" ht="15.75" customHeight="1">
      <c r="A67" s="15" t="s">
        <v>180</v>
      </c>
      <c r="B67" s="15" t="s">
        <v>181</v>
      </c>
      <c r="C67" s="20"/>
      <c r="D67" s="16">
        <v>2024.0</v>
      </c>
      <c r="E67" s="20" t="s">
        <v>103</v>
      </c>
      <c r="F67" s="20"/>
      <c r="G67" s="3"/>
      <c r="H67" s="3" t="s">
        <v>17</v>
      </c>
      <c r="I67" s="4"/>
      <c r="J67" s="4"/>
      <c r="K67" s="4"/>
      <c r="L67" s="4"/>
      <c r="M67" s="4"/>
      <c r="N67" s="5" t="str">
        <f t="shared" si="1"/>
        <v>No</v>
      </c>
      <c r="O67" s="10" t="b">
        <f t="shared" si="2"/>
        <v>0</v>
      </c>
    </row>
    <row r="68" ht="15.75" customHeight="1">
      <c r="A68" s="15" t="s">
        <v>182</v>
      </c>
      <c r="B68" s="15" t="s">
        <v>183</v>
      </c>
      <c r="C68" s="20"/>
      <c r="D68" s="16">
        <v>2024.0</v>
      </c>
      <c r="E68" s="20" t="s">
        <v>103</v>
      </c>
      <c r="F68" s="20"/>
      <c r="G68" s="3"/>
      <c r="H68" s="3" t="s">
        <v>17</v>
      </c>
      <c r="I68" s="4"/>
      <c r="J68" s="4"/>
      <c r="K68" s="4"/>
      <c r="L68" s="4"/>
      <c r="M68" s="4"/>
      <c r="N68" s="5" t="str">
        <f t="shared" si="1"/>
        <v>No</v>
      </c>
      <c r="O68" s="10" t="b">
        <f t="shared" si="2"/>
        <v>0</v>
      </c>
    </row>
    <row r="69" ht="15.75" customHeight="1">
      <c r="A69" s="15" t="s">
        <v>184</v>
      </c>
      <c r="B69" s="15" t="s">
        <v>185</v>
      </c>
      <c r="C69" s="15"/>
      <c r="D69" s="16">
        <v>2025.0</v>
      </c>
      <c r="E69" s="15" t="s">
        <v>103</v>
      </c>
      <c r="F69" s="20"/>
      <c r="G69" s="3"/>
      <c r="H69" s="3" t="s">
        <v>17</v>
      </c>
      <c r="I69" s="4"/>
      <c r="J69" s="4"/>
      <c r="K69" s="4"/>
      <c r="L69" s="4"/>
      <c r="M69" s="4"/>
      <c r="N69" s="5" t="str">
        <f t="shared" si="1"/>
        <v>No</v>
      </c>
      <c r="O69" s="10" t="b">
        <f t="shared" si="2"/>
        <v>0</v>
      </c>
    </row>
    <row r="70" ht="15.75" customHeight="1">
      <c r="A70" s="15" t="s">
        <v>186</v>
      </c>
      <c r="B70" s="15" t="s">
        <v>187</v>
      </c>
      <c r="C70" s="15"/>
      <c r="D70" s="16">
        <v>2025.0</v>
      </c>
      <c r="E70" s="20" t="s">
        <v>103</v>
      </c>
      <c r="F70" s="20"/>
      <c r="G70" s="3"/>
      <c r="H70" s="3" t="s">
        <v>17</v>
      </c>
      <c r="I70" s="4"/>
      <c r="J70" s="4"/>
      <c r="K70" s="4"/>
      <c r="L70" s="4"/>
      <c r="M70" s="4"/>
      <c r="N70" s="5" t="str">
        <f t="shared" si="1"/>
        <v>No</v>
      </c>
      <c r="O70" s="10" t="b">
        <f t="shared" si="2"/>
        <v>0</v>
      </c>
    </row>
    <row r="71" ht="15.75" customHeight="1">
      <c r="A71" s="15" t="s">
        <v>188</v>
      </c>
      <c r="B71" s="15" t="s">
        <v>189</v>
      </c>
      <c r="C71" s="15"/>
      <c r="D71" s="16">
        <v>2024.0</v>
      </c>
      <c r="E71" s="15" t="s">
        <v>103</v>
      </c>
      <c r="F71" s="20"/>
      <c r="G71" s="3"/>
      <c r="H71" s="3" t="s">
        <v>17</v>
      </c>
      <c r="I71" s="4"/>
      <c r="J71" s="4"/>
      <c r="K71" s="4"/>
      <c r="L71" s="4"/>
      <c r="M71" s="4"/>
      <c r="N71" s="5" t="str">
        <f t="shared" si="1"/>
        <v>No</v>
      </c>
      <c r="O71" s="10" t="b">
        <f t="shared" si="2"/>
        <v>0</v>
      </c>
    </row>
    <row r="72" ht="15.75" customHeight="1">
      <c r="A72" s="15" t="s">
        <v>190</v>
      </c>
      <c r="B72" s="15" t="s">
        <v>191</v>
      </c>
      <c r="C72" s="15"/>
      <c r="D72" s="16">
        <v>2024.0</v>
      </c>
      <c r="E72" s="15" t="s">
        <v>103</v>
      </c>
      <c r="F72" s="20"/>
      <c r="G72" s="3"/>
      <c r="H72" s="3" t="s">
        <v>17</v>
      </c>
      <c r="I72" s="4"/>
      <c r="J72" s="4"/>
      <c r="K72" s="4"/>
      <c r="L72" s="4"/>
      <c r="M72" s="4"/>
      <c r="N72" s="5" t="str">
        <f t="shared" si="1"/>
        <v>No</v>
      </c>
      <c r="O72" s="10" t="b">
        <f t="shared" si="2"/>
        <v>0</v>
      </c>
    </row>
    <row r="73" ht="15.75" customHeight="1">
      <c r="A73" s="15" t="s">
        <v>192</v>
      </c>
      <c r="B73" s="15" t="s">
        <v>193</v>
      </c>
      <c r="C73" s="15"/>
      <c r="D73" s="16">
        <v>2025.0</v>
      </c>
      <c r="E73" s="20" t="s">
        <v>103</v>
      </c>
      <c r="F73" s="20"/>
      <c r="G73" s="3"/>
      <c r="H73" s="3" t="s">
        <v>17</v>
      </c>
      <c r="I73" s="4"/>
      <c r="J73" s="4"/>
      <c r="K73" s="4"/>
      <c r="L73" s="4"/>
      <c r="M73" s="4"/>
      <c r="N73" s="5" t="str">
        <f t="shared" si="1"/>
        <v>No</v>
      </c>
      <c r="O73" s="10" t="b">
        <f t="shared" si="2"/>
        <v>0</v>
      </c>
    </row>
    <row r="74" ht="15.75" customHeight="1">
      <c r="A74" s="15" t="s">
        <v>194</v>
      </c>
      <c r="B74" s="15" t="s">
        <v>195</v>
      </c>
      <c r="C74" s="15"/>
      <c r="D74" s="16">
        <v>2025.0</v>
      </c>
      <c r="E74" s="20" t="s">
        <v>103</v>
      </c>
      <c r="F74" s="20"/>
      <c r="G74" s="3"/>
      <c r="H74" s="3" t="s">
        <v>17</v>
      </c>
      <c r="I74" s="4"/>
      <c r="J74" s="4"/>
      <c r="K74" s="4"/>
      <c r="L74" s="4"/>
      <c r="M74" s="4"/>
      <c r="N74" s="5" t="str">
        <f t="shared" si="1"/>
        <v>No</v>
      </c>
      <c r="O74" s="10" t="b">
        <f t="shared" si="2"/>
        <v>0</v>
      </c>
    </row>
    <row r="75" ht="15.75" customHeight="1">
      <c r="A75" s="15" t="s">
        <v>196</v>
      </c>
      <c r="B75" s="15" t="s">
        <v>197</v>
      </c>
      <c r="C75" s="15"/>
      <c r="D75" s="16">
        <v>2025.0</v>
      </c>
      <c r="E75" s="15" t="s">
        <v>103</v>
      </c>
      <c r="F75" s="20"/>
      <c r="G75" s="3"/>
      <c r="H75" s="3" t="s">
        <v>17</v>
      </c>
      <c r="I75" s="4"/>
      <c r="J75" s="4"/>
      <c r="K75" s="4"/>
      <c r="L75" s="4"/>
      <c r="M75" s="4"/>
      <c r="N75" s="5" t="str">
        <f t="shared" si="1"/>
        <v>No</v>
      </c>
      <c r="O75" s="10" t="b">
        <f t="shared" si="2"/>
        <v>0</v>
      </c>
      <c r="P75" s="29"/>
      <c r="Q75" s="29"/>
      <c r="R75" s="30"/>
    </row>
    <row r="76" ht="15.75" customHeight="1">
      <c r="A76" s="15" t="s">
        <v>198</v>
      </c>
      <c r="B76" s="15" t="s">
        <v>199</v>
      </c>
      <c r="C76" s="15"/>
      <c r="D76" s="16">
        <v>2025.0</v>
      </c>
      <c r="E76" s="15" t="s">
        <v>103</v>
      </c>
      <c r="F76" s="20"/>
      <c r="G76" s="3"/>
      <c r="H76" s="3" t="s">
        <v>17</v>
      </c>
      <c r="I76" s="4"/>
      <c r="J76" s="4"/>
      <c r="K76" s="4"/>
      <c r="L76" s="4"/>
      <c r="M76" s="4"/>
      <c r="N76" s="5" t="str">
        <f t="shared" si="1"/>
        <v>No</v>
      </c>
      <c r="O76" s="10" t="b">
        <f t="shared" si="2"/>
        <v>0</v>
      </c>
    </row>
    <row r="77" ht="15.75" customHeight="1">
      <c r="A77" s="15" t="s">
        <v>200</v>
      </c>
      <c r="B77" s="15" t="s">
        <v>201</v>
      </c>
      <c r="C77" s="15"/>
      <c r="D77" s="16">
        <v>2025.0</v>
      </c>
      <c r="E77" s="20" t="s">
        <v>103</v>
      </c>
      <c r="F77" s="20"/>
      <c r="G77" s="3"/>
      <c r="H77" s="3" t="s">
        <v>17</v>
      </c>
      <c r="I77" s="4"/>
      <c r="J77" s="4"/>
      <c r="K77" s="4"/>
      <c r="L77" s="4"/>
      <c r="M77" s="4"/>
      <c r="N77" s="5" t="str">
        <f t="shared" si="1"/>
        <v>No</v>
      </c>
      <c r="O77" s="10" t="b">
        <f t="shared" si="2"/>
        <v>0</v>
      </c>
    </row>
    <row r="78" ht="15.75" customHeight="1">
      <c r="A78" s="15" t="s">
        <v>202</v>
      </c>
      <c r="B78" s="15" t="s">
        <v>203</v>
      </c>
      <c r="C78" s="15"/>
      <c r="D78" s="16">
        <v>2025.0</v>
      </c>
      <c r="E78" s="20" t="s">
        <v>103</v>
      </c>
      <c r="F78" s="20"/>
      <c r="G78" s="3"/>
      <c r="H78" s="3" t="s">
        <v>17</v>
      </c>
      <c r="I78" s="4"/>
      <c r="J78" s="4"/>
      <c r="K78" s="4"/>
      <c r="L78" s="4"/>
      <c r="M78" s="4"/>
      <c r="N78" s="5" t="str">
        <f t="shared" si="1"/>
        <v>No</v>
      </c>
      <c r="O78" s="10" t="b">
        <f t="shared" si="2"/>
        <v>0</v>
      </c>
    </row>
    <row r="79" ht="15.75" customHeight="1">
      <c r="A79" s="15" t="s">
        <v>204</v>
      </c>
      <c r="B79" s="15" t="s">
        <v>205</v>
      </c>
      <c r="C79" s="20"/>
      <c r="D79" s="16">
        <v>2025.0</v>
      </c>
      <c r="E79" s="20" t="s">
        <v>103</v>
      </c>
      <c r="F79" s="20"/>
      <c r="G79" s="3"/>
      <c r="H79" s="3" t="s">
        <v>17</v>
      </c>
      <c r="I79" s="4"/>
      <c r="J79" s="4"/>
      <c r="K79" s="4"/>
      <c r="L79" s="4"/>
      <c r="M79" s="4"/>
      <c r="N79" s="5" t="str">
        <f t="shared" si="1"/>
        <v>No</v>
      </c>
      <c r="O79" s="10" t="b">
        <f t="shared" si="2"/>
        <v>0</v>
      </c>
    </row>
    <row r="80" ht="15.75" customHeight="1">
      <c r="A80" s="15" t="s">
        <v>206</v>
      </c>
      <c r="B80" s="15" t="s">
        <v>207</v>
      </c>
      <c r="C80" s="15"/>
      <c r="D80" s="16">
        <v>2024.0</v>
      </c>
      <c r="E80" s="15" t="s">
        <v>103</v>
      </c>
      <c r="F80" s="20"/>
      <c r="G80" s="3"/>
      <c r="H80" s="3" t="s">
        <v>17</v>
      </c>
      <c r="I80" s="4"/>
      <c r="J80" s="4"/>
      <c r="K80" s="4"/>
      <c r="L80" s="4"/>
      <c r="M80" s="4"/>
      <c r="N80" s="5" t="str">
        <f t="shared" si="1"/>
        <v>No</v>
      </c>
      <c r="O80" s="10" t="b">
        <f t="shared" si="2"/>
        <v>0</v>
      </c>
    </row>
    <row r="81" ht="15.75" customHeight="1">
      <c r="A81" s="15" t="s">
        <v>208</v>
      </c>
      <c r="B81" s="15" t="s">
        <v>209</v>
      </c>
      <c r="C81" s="15"/>
      <c r="D81" s="16">
        <v>2024.0</v>
      </c>
      <c r="E81" s="20" t="s">
        <v>103</v>
      </c>
      <c r="F81" s="20"/>
      <c r="G81" s="3"/>
      <c r="H81" s="3" t="s">
        <v>17</v>
      </c>
      <c r="I81" s="4"/>
      <c r="J81" s="4"/>
      <c r="K81" s="4"/>
      <c r="L81" s="4"/>
      <c r="M81" s="4"/>
      <c r="N81" s="5" t="str">
        <f t="shared" si="1"/>
        <v>No</v>
      </c>
      <c r="O81" s="10" t="b">
        <f t="shared" si="2"/>
        <v>0</v>
      </c>
    </row>
    <row r="82" ht="15.75" customHeight="1">
      <c r="A82" s="15" t="s">
        <v>210</v>
      </c>
      <c r="B82" s="15" t="s">
        <v>211</v>
      </c>
      <c r="C82" s="20"/>
      <c r="D82" s="16">
        <v>2025.0</v>
      </c>
      <c r="E82" s="20" t="s">
        <v>103</v>
      </c>
      <c r="F82" s="20"/>
      <c r="G82" s="3"/>
      <c r="H82" s="3" t="s">
        <v>17</v>
      </c>
      <c r="I82" s="4"/>
      <c r="J82" s="4"/>
      <c r="K82" s="4"/>
      <c r="L82" s="4"/>
      <c r="M82" s="4"/>
      <c r="N82" s="5" t="str">
        <f t="shared" si="1"/>
        <v>No</v>
      </c>
      <c r="O82" s="10" t="b">
        <f t="shared" si="2"/>
        <v>0</v>
      </c>
    </row>
    <row r="83" ht="15.75" customHeight="1">
      <c r="A83" s="15" t="s">
        <v>212</v>
      </c>
      <c r="B83" s="15" t="s">
        <v>213</v>
      </c>
      <c r="C83" s="15"/>
      <c r="D83" s="16">
        <v>2025.0</v>
      </c>
      <c r="E83" s="20" t="s">
        <v>103</v>
      </c>
      <c r="F83" s="20"/>
      <c r="G83" s="3"/>
      <c r="H83" s="3" t="s">
        <v>17</v>
      </c>
      <c r="I83" s="4"/>
      <c r="J83" s="4"/>
      <c r="K83" s="4"/>
      <c r="L83" s="4"/>
      <c r="M83" s="4"/>
      <c r="N83" s="5" t="str">
        <f t="shared" si="1"/>
        <v>No</v>
      </c>
      <c r="O83" s="10" t="b">
        <f t="shared" si="2"/>
        <v>0</v>
      </c>
    </row>
    <row r="84" ht="15.75" customHeight="1">
      <c r="A84" s="15" t="s">
        <v>214</v>
      </c>
      <c r="B84" s="15" t="s">
        <v>215</v>
      </c>
      <c r="C84" s="20"/>
      <c r="D84" s="16">
        <v>2024.0</v>
      </c>
      <c r="E84" s="20" t="s">
        <v>103</v>
      </c>
      <c r="F84" s="20"/>
      <c r="G84" s="3"/>
      <c r="H84" s="3" t="s">
        <v>17</v>
      </c>
      <c r="I84" s="4"/>
      <c r="J84" s="4"/>
      <c r="K84" s="4"/>
      <c r="L84" s="4"/>
      <c r="M84" s="4"/>
      <c r="N84" s="5" t="str">
        <f t="shared" si="1"/>
        <v>No</v>
      </c>
      <c r="O84" s="10" t="b">
        <f t="shared" si="2"/>
        <v>0</v>
      </c>
    </row>
    <row r="85" ht="15.75" customHeight="1">
      <c r="A85" s="15" t="s">
        <v>216</v>
      </c>
      <c r="B85" s="15" t="s">
        <v>217</v>
      </c>
      <c r="C85" s="20"/>
      <c r="D85" s="16">
        <v>2024.0</v>
      </c>
      <c r="E85" s="15" t="s">
        <v>103</v>
      </c>
      <c r="F85" s="20"/>
      <c r="G85" s="3"/>
      <c r="H85" s="3" t="s">
        <v>17</v>
      </c>
      <c r="I85" s="4"/>
      <c r="J85" s="4"/>
      <c r="K85" s="4"/>
      <c r="L85" s="4"/>
      <c r="M85" s="4"/>
      <c r="N85" s="5" t="str">
        <f t="shared" si="1"/>
        <v>No</v>
      </c>
      <c r="O85" s="10" t="b">
        <f t="shared" si="2"/>
        <v>0</v>
      </c>
    </row>
    <row r="86" ht="15.75" customHeight="1">
      <c r="A86" s="15" t="s">
        <v>218</v>
      </c>
      <c r="B86" s="15" t="s">
        <v>219</v>
      </c>
      <c r="C86" s="15"/>
      <c r="D86" s="16">
        <v>2024.0</v>
      </c>
      <c r="E86" s="20" t="s">
        <v>103</v>
      </c>
      <c r="F86" s="20"/>
      <c r="G86" s="3"/>
      <c r="H86" s="3" t="s">
        <v>17</v>
      </c>
      <c r="I86" s="4"/>
      <c r="J86" s="4"/>
      <c r="K86" s="4"/>
      <c r="L86" s="4"/>
      <c r="M86" s="4"/>
      <c r="N86" s="5" t="str">
        <f t="shared" si="1"/>
        <v>No</v>
      </c>
      <c r="O86" s="10" t="b">
        <f t="shared" si="2"/>
        <v>0</v>
      </c>
    </row>
    <row r="87" ht="15.75" customHeight="1">
      <c r="A87" s="15" t="s">
        <v>220</v>
      </c>
      <c r="B87" s="15" t="s">
        <v>221</v>
      </c>
      <c r="C87" s="15"/>
      <c r="D87" s="16">
        <v>2024.0</v>
      </c>
      <c r="E87" s="20" t="s">
        <v>103</v>
      </c>
      <c r="F87" s="20"/>
      <c r="G87" s="3"/>
      <c r="H87" s="3" t="s">
        <v>17</v>
      </c>
      <c r="I87" s="4"/>
      <c r="J87" s="4"/>
      <c r="K87" s="4"/>
      <c r="L87" s="4"/>
      <c r="M87" s="4"/>
      <c r="N87" s="5" t="str">
        <f t="shared" si="1"/>
        <v>No</v>
      </c>
      <c r="O87" s="10" t="b">
        <f t="shared" si="2"/>
        <v>0</v>
      </c>
    </row>
    <row r="88" ht="15.75" customHeight="1">
      <c r="A88" s="15" t="s">
        <v>222</v>
      </c>
      <c r="B88" s="15" t="s">
        <v>223</v>
      </c>
      <c r="C88" s="20"/>
      <c r="D88" s="16">
        <v>2025.0</v>
      </c>
      <c r="E88" s="20" t="s">
        <v>103</v>
      </c>
      <c r="F88" s="20"/>
      <c r="G88" s="3"/>
      <c r="H88" s="3" t="s">
        <v>17</v>
      </c>
      <c r="I88" s="4"/>
      <c r="J88" s="4"/>
      <c r="K88" s="4"/>
      <c r="L88" s="4"/>
      <c r="M88" s="4"/>
      <c r="N88" s="5" t="str">
        <f t="shared" si="1"/>
        <v>No</v>
      </c>
      <c r="O88" s="10" t="b">
        <f t="shared" si="2"/>
        <v>0</v>
      </c>
    </row>
    <row r="89" ht="15.75" customHeight="1">
      <c r="A89" s="15" t="s">
        <v>224</v>
      </c>
      <c r="B89" s="15" t="s">
        <v>225</v>
      </c>
      <c r="C89" s="15"/>
      <c r="D89" s="16">
        <v>2024.0</v>
      </c>
      <c r="E89" s="15" t="s">
        <v>103</v>
      </c>
      <c r="F89" s="20"/>
      <c r="G89" s="3"/>
      <c r="H89" s="3"/>
      <c r="I89" s="4"/>
      <c r="J89" s="4"/>
      <c r="K89" s="4"/>
      <c r="L89" s="4"/>
      <c r="M89" s="4"/>
      <c r="N89" s="5" t="str">
        <f t="shared" si="1"/>
        <v>Yes</v>
      </c>
      <c r="O89" s="10" t="b">
        <f t="shared" si="2"/>
        <v>0</v>
      </c>
    </row>
    <row r="90" ht="15.75" customHeight="1">
      <c r="A90" s="15" t="s">
        <v>226</v>
      </c>
      <c r="B90" s="15" t="s">
        <v>227</v>
      </c>
      <c r="C90" s="15"/>
      <c r="D90" s="16">
        <v>2024.0</v>
      </c>
      <c r="E90" s="20" t="s">
        <v>103</v>
      </c>
      <c r="F90" s="20"/>
      <c r="G90" s="3"/>
      <c r="H90" s="3"/>
      <c r="I90" s="4"/>
      <c r="J90" s="4"/>
      <c r="K90" s="4" t="s">
        <v>17</v>
      </c>
      <c r="L90" s="4"/>
      <c r="M90" s="4"/>
      <c r="N90" s="5" t="str">
        <f t="shared" si="1"/>
        <v>No</v>
      </c>
      <c r="O90" s="10" t="b">
        <f t="shared" si="2"/>
        <v>0</v>
      </c>
    </row>
    <row r="91" ht="15.75" customHeight="1">
      <c r="A91" s="15" t="s">
        <v>228</v>
      </c>
      <c r="B91" s="15" t="s">
        <v>229</v>
      </c>
      <c r="C91" s="15"/>
      <c r="D91" s="16">
        <v>2025.0</v>
      </c>
      <c r="E91" s="20" t="s">
        <v>103</v>
      </c>
      <c r="F91" s="20"/>
      <c r="G91" s="3"/>
      <c r="H91" s="3" t="s">
        <v>17</v>
      </c>
      <c r="I91" s="4"/>
      <c r="J91" s="4"/>
      <c r="K91" s="4"/>
      <c r="L91" s="4"/>
      <c r="M91" s="4"/>
      <c r="N91" s="5" t="str">
        <f t="shared" si="1"/>
        <v>No</v>
      </c>
      <c r="O91" s="10" t="b">
        <f t="shared" si="2"/>
        <v>0</v>
      </c>
    </row>
    <row r="92" ht="15.75" customHeight="1">
      <c r="A92" s="15" t="s">
        <v>230</v>
      </c>
      <c r="B92" s="15" t="s">
        <v>231</v>
      </c>
      <c r="C92" s="15"/>
      <c r="D92" s="16">
        <v>2024.0</v>
      </c>
      <c r="E92" s="15" t="s">
        <v>103</v>
      </c>
      <c r="F92" s="20"/>
      <c r="G92" s="3"/>
      <c r="H92" s="3" t="s">
        <v>17</v>
      </c>
      <c r="I92" s="4"/>
      <c r="J92" s="4"/>
      <c r="K92" s="4"/>
      <c r="L92" s="4"/>
      <c r="M92" s="4"/>
      <c r="N92" s="5" t="str">
        <f t="shared" si="1"/>
        <v>No</v>
      </c>
      <c r="O92" s="10" t="b">
        <f t="shared" si="2"/>
        <v>0</v>
      </c>
    </row>
    <row r="93" ht="15.75" customHeight="1">
      <c r="A93" s="15" t="s">
        <v>232</v>
      </c>
      <c r="B93" s="15" t="s">
        <v>233</v>
      </c>
      <c r="C93" s="15"/>
      <c r="D93" s="16">
        <v>2024.0</v>
      </c>
      <c r="E93" s="20" t="s">
        <v>103</v>
      </c>
      <c r="F93" s="20"/>
      <c r="G93" s="3"/>
      <c r="H93" s="3" t="s">
        <v>17</v>
      </c>
      <c r="I93" s="4"/>
      <c r="J93" s="4"/>
      <c r="K93" s="4"/>
      <c r="L93" s="4"/>
      <c r="M93" s="4"/>
      <c r="N93" s="5" t="str">
        <f t="shared" si="1"/>
        <v>No</v>
      </c>
      <c r="O93" s="10" t="b">
        <f t="shared" si="2"/>
        <v>0</v>
      </c>
    </row>
    <row r="94" ht="15.75" customHeight="1">
      <c r="A94" s="15" t="s">
        <v>234</v>
      </c>
      <c r="B94" s="15" t="s">
        <v>235</v>
      </c>
      <c r="C94" s="15"/>
      <c r="D94" s="16">
        <v>2024.0</v>
      </c>
      <c r="E94" s="20" t="s">
        <v>103</v>
      </c>
      <c r="F94" s="20"/>
      <c r="G94" s="3"/>
      <c r="H94" s="3" t="s">
        <v>17</v>
      </c>
      <c r="I94" s="4"/>
      <c r="J94" s="4"/>
      <c r="K94" s="4"/>
      <c r="L94" s="4"/>
      <c r="M94" s="4"/>
      <c r="N94" s="5" t="str">
        <f t="shared" si="1"/>
        <v>No</v>
      </c>
      <c r="O94" s="10" t="b">
        <f t="shared" si="2"/>
        <v>0</v>
      </c>
    </row>
    <row r="95" ht="15.75" customHeight="1">
      <c r="A95" s="15" t="s">
        <v>236</v>
      </c>
      <c r="B95" s="15" t="s">
        <v>237</v>
      </c>
      <c r="C95" s="15"/>
      <c r="D95" s="16">
        <v>2025.0</v>
      </c>
      <c r="E95" s="15" t="s">
        <v>103</v>
      </c>
      <c r="F95" s="20"/>
      <c r="G95" s="3"/>
      <c r="H95" s="3" t="s">
        <v>17</v>
      </c>
      <c r="I95" s="4"/>
      <c r="J95" s="4"/>
      <c r="K95" s="4"/>
      <c r="L95" s="4"/>
      <c r="M95" s="4"/>
      <c r="N95" s="5" t="str">
        <f t="shared" si="1"/>
        <v>No</v>
      </c>
      <c r="O95" s="10" t="b">
        <f t="shared" si="2"/>
        <v>0</v>
      </c>
    </row>
    <row r="96" ht="15.75" customHeight="1">
      <c r="A96" s="15" t="s">
        <v>238</v>
      </c>
      <c r="B96" s="15" t="s">
        <v>239</v>
      </c>
      <c r="C96" s="15"/>
      <c r="D96" s="16">
        <v>2024.0</v>
      </c>
      <c r="E96" s="15" t="s">
        <v>103</v>
      </c>
      <c r="F96" s="20"/>
      <c r="G96" s="3"/>
      <c r="H96" s="3" t="s">
        <v>17</v>
      </c>
      <c r="I96" s="4"/>
      <c r="J96" s="4"/>
      <c r="K96" s="4"/>
      <c r="L96" s="4"/>
      <c r="M96" s="4"/>
      <c r="N96" s="5" t="str">
        <f t="shared" si="1"/>
        <v>No</v>
      </c>
      <c r="O96" s="10" t="b">
        <f t="shared" si="2"/>
        <v>0</v>
      </c>
    </row>
    <row r="97" ht="15.75" customHeight="1">
      <c r="A97" s="15" t="s">
        <v>240</v>
      </c>
      <c r="B97" s="15" t="s">
        <v>241</v>
      </c>
      <c r="C97" s="15"/>
      <c r="D97" s="16">
        <v>2025.0</v>
      </c>
      <c r="E97" s="15" t="s">
        <v>103</v>
      </c>
      <c r="F97" s="20"/>
      <c r="G97" s="3"/>
      <c r="H97" s="3" t="s">
        <v>17</v>
      </c>
      <c r="I97" s="4"/>
      <c r="J97" s="4"/>
      <c r="K97" s="4"/>
      <c r="L97" s="4"/>
      <c r="M97" s="4"/>
      <c r="N97" s="5" t="str">
        <f t="shared" si="1"/>
        <v>No</v>
      </c>
      <c r="O97" s="10" t="b">
        <f t="shared" si="2"/>
        <v>0</v>
      </c>
    </row>
    <row r="98" ht="15.75" customHeight="1">
      <c r="A98" s="15" t="s">
        <v>242</v>
      </c>
      <c r="B98" s="15" t="s">
        <v>243</v>
      </c>
      <c r="C98" s="15"/>
      <c r="D98" s="16">
        <v>2025.0</v>
      </c>
      <c r="E98" s="15" t="s">
        <v>103</v>
      </c>
      <c r="F98" s="20"/>
      <c r="G98" s="3"/>
      <c r="H98" s="3" t="s">
        <v>17</v>
      </c>
      <c r="I98" s="4"/>
      <c r="J98" s="4"/>
      <c r="K98" s="4"/>
      <c r="L98" s="4"/>
      <c r="M98" s="4"/>
      <c r="N98" s="5" t="str">
        <f t="shared" si="1"/>
        <v>No</v>
      </c>
      <c r="O98" s="10" t="b">
        <f t="shared" si="2"/>
        <v>0</v>
      </c>
    </row>
    <row r="99" ht="15.75" customHeight="1">
      <c r="A99" s="15" t="s">
        <v>244</v>
      </c>
      <c r="B99" s="15" t="s">
        <v>245</v>
      </c>
      <c r="C99" s="15"/>
      <c r="D99" s="16">
        <v>2025.0</v>
      </c>
      <c r="E99" s="15" t="s">
        <v>103</v>
      </c>
      <c r="F99" s="20"/>
      <c r="G99" s="3"/>
      <c r="H99" s="3" t="s">
        <v>17</v>
      </c>
      <c r="I99" s="4"/>
      <c r="J99" s="4"/>
      <c r="K99" s="4"/>
      <c r="L99" s="4"/>
      <c r="M99" s="4"/>
      <c r="N99" s="5" t="str">
        <f t="shared" si="1"/>
        <v>No</v>
      </c>
      <c r="O99" s="10" t="b">
        <f t="shared" si="2"/>
        <v>0</v>
      </c>
    </row>
    <row r="100" ht="15.75" customHeight="1">
      <c r="A100" s="15" t="s">
        <v>246</v>
      </c>
      <c r="B100" s="15" t="s">
        <v>247</v>
      </c>
      <c r="C100" s="15"/>
      <c r="D100" s="16">
        <v>2023.0</v>
      </c>
      <c r="E100" s="15" t="s">
        <v>103</v>
      </c>
      <c r="F100" s="20"/>
      <c r="G100" s="3"/>
      <c r="H100" s="3" t="s">
        <v>17</v>
      </c>
      <c r="I100" s="4"/>
      <c r="J100" s="4"/>
      <c r="K100" s="4"/>
      <c r="L100" s="4"/>
      <c r="M100" s="4"/>
      <c r="N100" s="5" t="str">
        <f t="shared" si="1"/>
        <v>No</v>
      </c>
      <c r="O100" s="10" t="b">
        <f t="shared" si="2"/>
        <v>0</v>
      </c>
    </row>
    <row r="101" ht="15.75" customHeight="1">
      <c r="A101" s="15" t="s">
        <v>248</v>
      </c>
      <c r="B101" s="15" t="s">
        <v>249</v>
      </c>
      <c r="C101" s="15"/>
      <c r="D101" s="16">
        <v>2025.0</v>
      </c>
      <c r="E101" s="15" t="s">
        <v>103</v>
      </c>
      <c r="F101" s="20"/>
      <c r="G101" s="3"/>
      <c r="H101" s="3" t="s">
        <v>17</v>
      </c>
      <c r="I101" s="4"/>
      <c r="J101" s="4"/>
      <c r="K101" s="4"/>
      <c r="L101" s="4"/>
      <c r="M101" s="4"/>
      <c r="N101" s="5" t="str">
        <f t="shared" si="1"/>
        <v>No</v>
      </c>
      <c r="O101" s="10" t="b">
        <f t="shared" si="2"/>
        <v>0</v>
      </c>
    </row>
    <row r="102" ht="15.75" customHeight="1">
      <c r="A102" s="15" t="s">
        <v>250</v>
      </c>
      <c r="B102" s="15" t="s">
        <v>251</v>
      </c>
      <c r="C102" s="15"/>
      <c r="D102" s="16">
        <v>2025.0</v>
      </c>
      <c r="E102" s="20" t="s">
        <v>103</v>
      </c>
      <c r="F102" s="20"/>
      <c r="G102" s="3"/>
      <c r="H102" s="3" t="s">
        <v>17</v>
      </c>
      <c r="I102" s="4"/>
      <c r="J102" s="4"/>
      <c r="K102" s="4"/>
      <c r="L102" s="4"/>
      <c r="M102" s="4"/>
      <c r="N102" s="5" t="str">
        <f t="shared" si="1"/>
        <v>No</v>
      </c>
      <c r="O102" s="10" t="b">
        <f t="shared" si="2"/>
        <v>0</v>
      </c>
    </row>
    <row r="103" ht="15.75" customHeight="1">
      <c r="A103" s="15" t="s">
        <v>252</v>
      </c>
      <c r="B103" s="15" t="s">
        <v>253</v>
      </c>
      <c r="C103" s="15"/>
      <c r="D103" s="16">
        <v>2024.0</v>
      </c>
      <c r="E103" s="15" t="s">
        <v>103</v>
      </c>
      <c r="F103" s="20"/>
      <c r="G103" s="3"/>
      <c r="H103" s="3" t="s">
        <v>17</v>
      </c>
      <c r="I103" s="4"/>
      <c r="J103" s="4"/>
      <c r="K103" s="4"/>
      <c r="L103" s="4"/>
      <c r="M103" s="4"/>
      <c r="N103" s="5" t="str">
        <f t="shared" si="1"/>
        <v>No</v>
      </c>
      <c r="O103" s="10" t="b">
        <f t="shared" si="2"/>
        <v>0</v>
      </c>
    </row>
    <row r="104" ht="15.75" customHeight="1">
      <c r="A104" s="15" t="s">
        <v>254</v>
      </c>
      <c r="B104" s="15" t="s">
        <v>255</v>
      </c>
      <c r="C104" s="15"/>
      <c r="D104" s="16">
        <v>2025.0</v>
      </c>
      <c r="E104" s="15" t="s">
        <v>103</v>
      </c>
      <c r="F104" s="20"/>
      <c r="G104" s="3"/>
      <c r="H104" s="3" t="s">
        <v>17</v>
      </c>
      <c r="I104" s="4"/>
      <c r="J104" s="4"/>
      <c r="K104" s="4"/>
      <c r="L104" s="4"/>
      <c r="M104" s="4"/>
      <c r="N104" s="5" t="str">
        <f t="shared" si="1"/>
        <v>No</v>
      </c>
      <c r="O104" s="10" t="b">
        <f t="shared" si="2"/>
        <v>0</v>
      </c>
    </row>
    <row r="105" ht="15.75" customHeight="1">
      <c r="A105" s="15" t="s">
        <v>256</v>
      </c>
      <c r="B105" s="15" t="s">
        <v>257</v>
      </c>
      <c r="C105" s="15"/>
      <c r="D105" s="16">
        <v>2025.0</v>
      </c>
      <c r="E105" s="15" t="s">
        <v>103</v>
      </c>
      <c r="F105" s="20"/>
      <c r="G105" s="3"/>
      <c r="H105" s="3"/>
      <c r="I105" s="4"/>
      <c r="J105" s="4"/>
      <c r="K105" s="4"/>
      <c r="L105" s="4"/>
      <c r="M105" s="4"/>
      <c r="N105" s="5" t="str">
        <f t="shared" si="1"/>
        <v>Yes</v>
      </c>
      <c r="O105" s="10" t="b">
        <f t="shared" si="2"/>
        <v>0</v>
      </c>
    </row>
    <row r="106" ht="15.75" customHeight="1">
      <c r="A106" s="15" t="s">
        <v>258</v>
      </c>
      <c r="B106" s="15" t="s">
        <v>259</v>
      </c>
      <c r="C106" s="15"/>
      <c r="D106" s="16">
        <v>2024.0</v>
      </c>
      <c r="E106" s="15" t="s">
        <v>103</v>
      </c>
      <c r="F106" s="20"/>
      <c r="G106" s="3"/>
      <c r="H106" s="3" t="s">
        <v>17</v>
      </c>
      <c r="I106" s="4"/>
      <c r="J106" s="4"/>
      <c r="K106" s="4"/>
      <c r="L106" s="4"/>
      <c r="M106" s="4"/>
      <c r="N106" s="5" t="str">
        <f t="shared" si="1"/>
        <v>No</v>
      </c>
      <c r="O106" s="10" t="b">
        <f t="shared" si="2"/>
        <v>0</v>
      </c>
    </row>
    <row r="107" ht="15.75" customHeight="1">
      <c r="A107" s="15" t="s">
        <v>260</v>
      </c>
      <c r="B107" s="15" t="s">
        <v>261</v>
      </c>
      <c r="C107" s="20"/>
      <c r="D107" s="16">
        <v>2025.0</v>
      </c>
      <c r="E107" s="20" t="s">
        <v>103</v>
      </c>
      <c r="F107" s="20"/>
      <c r="G107" s="3"/>
      <c r="H107" s="3" t="s">
        <v>17</v>
      </c>
      <c r="I107" s="4"/>
      <c r="J107" s="4"/>
      <c r="K107" s="4"/>
      <c r="L107" s="4"/>
      <c r="M107" s="4"/>
      <c r="N107" s="5" t="str">
        <f t="shared" si="1"/>
        <v>No</v>
      </c>
      <c r="O107" s="10" t="b">
        <f t="shared" si="2"/>
        <v>0</v>
      </c>
    </row>
    <row r="108" ht="15.75" customHeight="1">
      <c r="A108" s="15" t="s">
        <v>262</v>
      </c>
      <c r="B108" s="15" t="s">
        <v>263</v>
      </c>
      <c r="C108" s="15"/>
      <c r="D108" s="16">
        <v>2024.0</v>
      </c>
      <c r="E108" s="15" t="s">
        <v>103</v>
      </c>
      <c r="F108" s="20"/>
      <c r="G108" s="3"/>
      <c r="H108" s="3" t="s">
        <v>17</v>
      </c>
      <c r="I108" s="4"/>
      <c r="J108" s="4"/>
      <c r="K108" s="4"/>
      <c r="L108" s="4"/>
      <c r="M108" s="4"/>
      <c r="N108" s="5" t="str">
        <f t="shared" si="1"/>
        <v>No</v>
      </c>
      <c r="O108" s="10" t="b">
        <f t="shared" si="2"/>
        <v>0</v>
      </c>
    </row>
    <row r="109" ht="15.75" customHeight="1">
      <c r="A109" s="15" t="s">
        <v>264</v>
      </c>
      <c r="B109" s="15" t="s">
        <v>265</v>
      </c>
      <c r="C109" s="15"/>
      <c r="D109" s="16">
        <v>2024.0</v>
      </c>
      <c r="E109" s="15" t="s">
        <v>103</v>
      </c>
      <c r="F109" s="20"/>
      <c r="G109" s="3"/>
      <c r="H109" s="3" t="s">
        <v>17</v>
      </c>
      <c r="I109" s="4"/>
      <c r="J109" s="4"/>
      <c r="K109" s="4"/>
      <c r="L109" s="4"/>
      <c r="M109" s="4"/>
      <c r="N109" s="5" t="str">
        <f t="shared" si="1"/>
        <v>No</v>
      </c>
      <c r="O109" s="10" t="b">
        <f t="shared" si="2"/>
        <v>0</v>
      </c>
    </row>
    <row r="110" ht="15.75" customHeight="1">
      <c r="A110" s="15" t="s">
        <v>266</v>
      </c>
      <c r="B110" s="15" t="s">
        <v>267</v>
      </c>
      <c r="C110" s="20"/>
      <c r="D110" s="16">
        <v>2024.0</v>
      </c>
      <c r="E110" s="20" t="s">
        <v>103</v>
      </c>
      <c r="F110" s="20"/>
      <c r="G110" s="3"/>
      <c r="H110" s="3" t="s">
        <v>17</v>
      </c>
      <c r="I110" s="4"/>
      <c r="J110" s="4"/>
      <c r="K110" s="4"/>
      <c r="L110" s="4"/>
      <c r="M110" s="4"/>
      <c r="N110" s="5" t="str">
        <f t="shared" si="1"/>
        <v>No</v>
      </c>
      <c r="O110" s="10" t="b">
        <f t="shared" si="2"/>
        <v>0</v>
      </c>
    </row>
    <row r="111" ht="15.75" customHeight="1">
      <c r="A111" s="15" t="s">
        <v>268</v>
      </c>
      <c r="B111" s="15" t="s">
        <v>269</v>
      </c>
      <c r="C111" s="15"/>
      <c r="D111" s="16">
        <v>2024.0</v>
      </c>
      <c r="E111" s="15" t="s">
        <v>103</v>
      </c>
      <c r="F111" s="20"/>
      <c r="G111" s="3"/>
      <c r="H111" s="3" t="s">
        <v>17</v>
      </c>
      <c r="I111" s="4"/>
      <c r="J111" s="4"/>
      <c r="K111" s="4"/>
      <c r="L111" s="4"/>
      <c r="M111" s="4"/>
      <c r="N111" s="5" t="str">
        <f t="shared" si="1"/>
        <v>No</v>
      </c>
      <c r="O111" s="10" t="b">
        <f t="shared" si="2"/>
        <v>0</v>
      </c>
    </row>
    <row r="112" ht="15.75" customHeight="1">
      <c r="A112" s="15" t="s">
        <v>270</v>
      </c>
      <c r="B112" s="15" t="s">
        <v>271</v>
      </c>
      <c r="C112" s="15"/>
      <c r="D112" s="16">
        <v>2024.0</v>
      </c>
      <c r="E112" s="20" t="s">
        <v>103</v>
      </c>
      <c r="F112" s="20"/>
      <c r="G112" s="3"/>
      <c r="H112" s="3" t="s">
        <v>17</v>
      </c>
      <c r="I112" s="4"/>
      <c r="J112" s="4"/>
      <c r="K112" s="4"/>
      <c r="L112" s="4"/>
      <c r="M112" s="4"/>
      <c r="N112" s="5" t="str">
        <f t="shared" si="1"/>
        <v>No</v>
      </c>
      <c r="O112" s="10" t="b">
        <f t="shared" si="2"/>
        <v>0</v>
      </c>
    </row>
    <row r="113" ht="15.75" customHeight="1">
      <c r="A113" s="15" t="s">
        <v>272</v>
      </c>
      <c r="B113" s="15" t="s">
        <v>273</v>
      </c>
      <c r="C113" s="15"/>
      <c r="D113" s="16">
        <v>2024.0</v>
      </c>
      <c r="E113" s="15" t="s">
        <v>103</v>
      </c>
      <c r="F113" s="20"/>
      <c r="G113" s="3"/>
      <c r="H113" s="3" t="s">
        <v>17</v>
      </c>
      <c r="I113" s="4"/>
      <c r="J113" s="4"/>
      <c r="K113" s="4"/>
      <c r="L113" s="4"/>
      <c r="M113" s="4"/>
      <c r="N113" s="5" t="str">
        <f t="shared" si="1"/>
        <v>No</v>
      </c>
      <c r="O113" s="10" t="b">
        <f t="shared" si="2"/>
        <v>0</v>
      </c>
    </row>
    <row r="114" ht="15.75" customHeight="1">
      <c r="A114" s="15" t="s">
        <v>274</v>
      </c>
      <c r="B114" s="15" t="s">
        <v>275</v>
      </c>
      <c r="C114" s="15"/>
      <c r="D114" s="16">
        <v>2023.0</v>
      </c>
      <c r="E114" s="20" t="s">
        <v>103</v>
      </c>
      <c r="F114" s="20"/>
      <c r="G114" s="3"/>
      <c r="H114" s="3" t="s">
        <v>17</v>
      </c>
      <c r="I114" s="4"/>
      <c r="J114" s="4"/>
      <c r="K114" s="4"/>
      <c r="L114" s="4"/>
      <c r="M114" s="4"/>
      <c r="N114" s="5" t="str">
        <f t="shared" si="1"/>
        <v>No</v>
      </c>
      <c r="O114" s="10" t="b">
        <f t="shared" si="2"/>
        <v>0</v>
      </c>
    </row>
    <row r="115" ht="15.75" customHeight="1">
      <c r="A115" s="15" t="s">
        <v>276</v>
      </c>
      <c r="B115" s="15" t="s">
        <v>277</v>
      </c>
      <c r="C115" s="15"/>
      <c r="D115" s="16">
        <v>2024.0</v>
      </c>
      <c r="E115" s="15" t="s">
        <v>103</v>
      </c>
      <c r="F115" s="20"/>
      <c r="G115" s="3"/>
      <c r="H115" s="3" t="s">
        <v>17</v>
      </c>
      <c r="I115" s="4"/>
      <c r="J115" s="4"/>
      <c r="K115" s="4"/>
      <c r="L115" s="4"/>
      <c r="M115" s="4"/>
      <c r="N115" s="5" t="str">
        <f t="shared" si="1"/>
        <v>No</v>
      </c>
      <c r="O115" s="10" t="b">
        <f t="shared" si="2"/>
        <v>0</v>
      </c>
    </row>
    <row r="116" ht="15.75" customHeight="1">
      <c r="A116" s="15" t="s">
        <v>278</v>
      </c>
      <c r="B116" s="15" t="s">
        <v>279</v>
      </c>
      <c r="C116" s="15"/>
      <c r="D116" s="16">
        <v>2025.0</v>
      </c>
      <c r="E116" s="20" t="s">
        <v>103</v>
      </c>
      <c r="F116" s="20"/>
      <c r="G116" s="3"/>
      <c r="H116" s="3" t="s">
        <v>17</v>
      </c>
      <c r="I116" s="4"/>
      <c r="J116" s="4"/>
      <c r="K116" s="4"/>
      <c r="L116" s="4"/>
      <c r="M116" s="4"/>
      <c r="N116" s="5" t="str">
        <f t="shared" si="1"/>
        <v>No</v>
      </c>
      <c r="O116" s="10" t="b">
        <f t="shared" si="2"/>
        <v>0</v>
      </c>
    </row>
    <row r="117" ht="15.75" customHeight="1">
      <c r="A117" s="15" t="s">
        <v>280</v>
      </c>
      <c r="B117" s="15" t="s">
        <v>281</v>
      </c>
      <c r="C117" s="15"/>
      <c r="D117" s="16">
        <v>2025.0</v>
      </c>
      <c r="E117" s="15" t="s">
        <v>103</v>
      </c>
      <c r="F117" s="20"/>
      <c r="G117" s="3"/>
      <c r="H117" s="3" t="s">
        <v>17</v>
      </c>
      <c r="I117" s="4"/>
      <c r="J117" s="4"/>
      <c r="K117" s="4"/>
      <c r="L117" s="4"/>
      <c r="M117" s="4"/>
      <c r="N117" s="5" t="str">
        <f t="shared" si="1"/>
        <v>No</v>
      </c>
      <c r="O117" s="10" t="b">
        <f t="shared" si="2"/>
        <v>0</v>
      </c>
    </row>
    <row r="118" ht="15.75" customHeight="1">
      <c r="A118" s="15" t="s">
        <v>282</v>
      </c>
      <c r="B118" s="15" t="s">
        <v>283</v>
      </c>
      <c r="C118" s="15"/>
      <c r="D118" s="16">
        <v>2025.0</v>
      </c>
      <c r="E118" s="15" t="s">
        <v>103</v>
      </c>
      <c r="F118" s="20"/>
      <c r="G118" s="3"/>
      <c r="H118" s="3" t="s">
        <v>17</v>
      </c>
      <c r="I118" s="4"/>
      <c r="J118" s="4"/>
      <c r="K118" s="4"/>
      <c r="L118" s="4"/>
      <c r="M118" s="4"/>
      <c r="N118" s="5" t="str">
        <f t="shared" si="1"/>
        <v>No</v>
      </c>
      <c r="O118" s="10" t="b">
        <f t="shared" si="2"/>
        <v>0</v>
      </c>
    </row>
    <row r="119" ht="15.75" customHeight="1">
      <c r="A119" s="15" t="s">
        <v>284</v>
      </c>
      <c r="B119" s="15" t="s">
        <v>285</v>
      </c>
      <c r="C119" s="15"/>
      <c r="D119" s="16">
        <v>2024.0</v>
      </c>
      <c r="E119" s="15" t="s">
        <v>103</v>
      </c>
      <c r="F119" s="20"/>
      <c r="G119" s="3"/>
      <c r="H119" s="3" t="s">
        <v>17</v>
      </c>
      <c r="I119" s="4"/>
      <c r="J119" s="4"/>
      <c r="K119" s="4"/>
      <c r="L119" s="4"/>
      <c r="M119" s="4"/>
      <c r="N119" s="5" t="str">
        <f t="shared" si="1"/>
        <v>No</v>
      </c>
      <c r="O119" s="10" t="b">
        <f t="shared" si="2"/>
        <v>0</v>
      </c>
    </row>
    <row r="120" ht="15.75" customHeight="1">
      <c r="A120" s="15" t="s">
        <v>286</v>
      </c>
      <c r="B120" s="15" t="s">
        <v>287</v>
      </c>
      <c r="C120" s="15"/>
      <c r="D120" s="16">
        <v>2024.0</v>
      </c>
      <c r="E120" s="20" t="s">
        <v>103</v>
      </c>
      <c r="F120" s="20"/>
      <c r="G120" s="3"/>
      <c r="H120" s="3" t="s">
        <v>17</v>
      </c>
      <c r="I120" s="4"/>
      <c r="J120" s="4"/>
      <c r="K120" s="4"/>
      <c r="L120" s="4"/>
      <c r="M120" s="4"/>
      <c r="N120" s="5" t="str">
        <f t="shared" si="1"/>
        <v>No</v>
      </c>
      <c r="O120" s="10" t="b">
        <f t="shared" si="2"/>
        <v>0</v>
      </c>
    </row>
    <row r="121" ht="15.75" customHeight="1">
      <c r="A121" s="15" t="s">
        <v>288</v>
      </c>
      <c r="B121" s="15" t="s">
        <v>289</v>
      </c>
      <c r="C121" s="15"/>
      <c r="D121" s="16">
        <v>2024.0</v>
      </c>
      <c r="E121" s="15" t="s">
        <v>103</v>
      </c>
      <c r="F121" s="20"/>
      <c r="G121" s="3"/>
      <c r="H121" s="3" t="s">
        <v>17</v>
      </c>
      <c r="I121" s="4"/>
      <c r="J121" s="4"/>
      <c r="K121" s="4"/>
      <c r="L121" s="4"/>
      <c r="M121" s="4"/>
      <c r="N121" s="5" t="str">
        <f t="shared" si="1"/>
        <v>No</v>
      </c>
      <c r="O121" s="10" t="b">
        <f t="shared" si="2"/>
        <v>0</v>
      </c>
    </row>
    <row r="122" ht="15.75" customHeight="1">
      <c r="A122" s="15" t="s">
        <v>290</v>
      </c>
      <c r="B122" s="15" t="s">
        <v>291</v>
      </c>
      <c r="C122" s="15"/>
      <c r="D122" s="16">
        <v>2024.0</v>
      </c>
      <c r="E122" s="15" t="s">
        <v>103</v>
      </c>
      <c r="F122" s="20"/>
      <c r="G122" s="3"/>
      <c r="H122" s="3" t="s">
        <v>17</v>
      </c>
      <c r="I122" s="4"/>
      <c r="J122" s="4"/>
      <c r="K122" s="4"/>
      <c r="L122" s="4"/>
      <c r="M122" s="4"/>
      <c r="N122" s="5" t="str">
        <f t="shared" si="1"/>
        <v>No</v>
      </c>
      <c r="O122" s="10" t="b">
        <f t="shared" si="2"/>
        <v>0</v>
      </c>
    </row>
    <row r="123" ht="15.75" customHeight="1">
      <c r="A123" s="15" t="s">
        <v>292</v>
      </c>
      <c r="B123" s="15" t="s">
        <v>293</v>
      </c>
      <c r="C123" s="15"/>
      <c r="D123" s="16">
        <v>2025.0</v>
      </c>
      <c r="E123" s="15" t="s">
        <v>103</v>
      </c>
      <c r="F123" s="20"/>
      <c r="G123" s="3"/>
      <c r="H123" s="3" t="s">
        <v>17</v>
      </c>
      <c r="I123" s="4"/>
      <c r="J123" s="4"/>
      <c r="K123" s="4"/>
      <c r="L123" s="4"/>
      <c r="M123" s="4"/>
      <c r="N123" s="5" t="str">
        <f t="shared" si="1"/>
        <v>No</v>
      </c>
      <c r="O123" s="10" t="b">
        <f t="shared" si="2"/>
        <v>0</v>
      </c>
    </row>
    <row r="124" ht="15.75" customHeight="1">
      <c r="A124" s="15" t="s">
        <v>294</v>
      </c>
      <c r="B124" s="15" t="s">
        <v>295</v>
      </c>
      <c r="C124" s="15"/>
      <c r="D124" s="16">
        <v>2024.0</v>
      </c>
      <c r="E124" s="20" t="s">
        <v>103</v>
      </c>
      <c r="F124" s="20"/>
      <c r="G124" s="3"/>
      <c r="H124" s="3" t="s">
        <v>17</v>
      </c>
      <c r="I124" s="4"/>
      <c r="J124" s="4"/>
      <c r="K124" s="4"/>
      <c r="L124" s="4"/>
      <c r="M124" s="4"/>
      <c r="N124" s="5" t="str">
        <f t="shared" si="1"/>
        <v>No</v>
      </c>
      <c r="O124" s="10" t="b">
        <f t="shared" si="2"/>
        <v>0</v>
      </c>
    </row>
    <row r="125" ht="15.75" customHeight="1">
      <c r="A125" s="15" t="s">
        <v>296</v>
      </c>
      <c r="B125" s="15" t="s">
        <v>297</v>
      </c>
      <c r="C125" s="15"/>
      <c r="D125" s="16">
        <v>2024.0</v>
      </c>
      <c r="E125" s="20" t="s">
        <v>103</v>
      </c>
      <c r="F125" s="20"/>
      <c r="G125" s="3"/>
      <c r="H125" s="3" t="s">
        <v>17</v>
      </c>
      <c r="I125" s="4"/>
      <c r="J125" s="4"/>
      <c r="K125" s="4"/>
      <c r="L125" s="4"/>
      <c r="M125" s="4"/>
      <c r="N125" s="5" t="str">
        <f t="shared" si="1"/>
        <v>No</v>
      </c>
      <c r="O125" s="10" t="b">
        <f t="shared" si="2"/>
        <v>0</v>
      </c>
    </row>
    <row r="126" ht="15.75" customHeight="1">
      <c r="A126" s="15" t="s">
        <v>298</v>
      </c>
      <c r="B126" s="15" t="s">
        <v>299</v>
      </c>
      <c r="C126" s="15"/>
      <c r="D126" s="16">
        <v>2024.0</v>
      </c>
      <c r="E126" s="20" t="s">
        <v>103</v>
      </c>
      <c r="F126" s="20"/>
      <c r="G126" s="3"/>
      <c r="H126" s="3"/>
      <c r="I126" s="4"/>
      <c r="J126" s="4"/>
      <c r="K126" s="4"/>
      <c r="L126" s="4"/>
      <c r="M126" s="4"/>
      <c r="N126" s="5" t="str">
        <f t="shared" si="1"/>
        <v>Yes</v>
      </c>
      <c r="O126" s="10" t="b">
        <f t="shared" si="2"/>
        <v>0</v>
      </c>
    </row>
    <row r="127" ht="15.75" customHeight="1">
      <c r="A127" s="15" t="s">
        <v>300</v>
      </c>
      <c r="B127" s="15" t="s">
        <v>301</v>
      </c>
      <c r="C127" s="15"/>
      <c r="D127" s="16">
        <v>2025.0</v>
      </c>
      <c r="E127" s="15" t="s">
        <v>103</v>
      </c>
      <c r="F127" s="20"/>
      <c r="G127" s="3"/>
      <c r="H127" s="3"/>
      <c r="I127" s="4" t="s">
        <v>17</v>
      </c>
      <c r="J127" s="4"/>
      <c r="K127" s="4"/>
      <c r="L127" s="4"/>
      <c r="M127" s="4"/>
      <c r="N127" s="5" t="str">
        <f t="shared" si="1"/>
        <v>No</v>
      </c>
      <c r="O127" s="10" t="b">
        <f t="shared" si="2"/>
        <v>0</v>
      </c>
    </row>
    <row r="128" ht="15.75" customHeight="1">
      <c r="A128" s="15" t="s">
        <v>302</v>
      </c>
      <c r="B128" s="15" t="s">
        <v>303</v>
      </c>
      <c r="C128" s="15"/>
      <c r="D128" s="16">
        <v>2024.0</v>
      </c>
      <c r="E128" s="15" t="s">
        <v>103</v>
      </c>
      <c r="F128" s="20"/>
      <c r="G128" s="3"/>
      <c r="H128" s="3"/>
      <c r="I128" s="4"/>
      <c r="J128" s="4"/>
      <c r="K128" s="4"/>
      <c r="L128" s="4"/>
      <c r="M128" s="4"/>
      <c r="N128" s="5" t="str">
        <f t="shared" si="1"/>
        <v>Yes</v>
      </c>
      <c r="O128" s="10" t="b">
        <f t="shared" si="2"/>
        <v>0</v>
      </c>
    </row>
    <row r="129" ht="15.75" customHeight="1">
      <c r="A129" s="15" t="s">
        <v>304</v>
      </c>
      <c r="B129" s="15" t="s">
        <v>305</v>
      </c>
      <c r="C129" s="15"/>
      <c r="D129" s="16">
        <v>2025.0</v>
      </c>
      <c r="E129" s="15" t="s">
        <v>103</v>
      </c>
      <c r="F129" s="20"/>
      <c r="G129" s="3"/>
      <c r="H129" s="3" t="s">
        <v>17</v>
      </c>
      <c r="I129" s="4"/>
      <c r="J129" s="4"/>
      <c r="K129" s="4"/>
      <c r="L129" s="4"/>
      <c r="M129" s="4"/>
      <c r="N129" s="5" t="str">
        <f t="shared" si="1"/>
        <v>No</v>
      </c>
      <c r="O129" s="10" t="b">
        <f t="shared" si="2"/>
        <v>0</v>
      </c>
    </row>
    <row r="130" ht="15.75" customHeight="1">
      <c r="A130" s="15" t="s">
        <v>306</v>
      </c>
      <c r="B130" s="15" t="s">
        <v>307</v>
      </c>
      <c r="C130" s="15"/>
      <c r="D130" s="16">
        <v>2024.0</v>
      </c>
      <c r="E130" s="15" t="s">
        <v>103</v>
      </c>
      <c r="F130" s="20"/>
      <c r="G130" s="3"/>
      <c r="H130" s="3" t="s">
        <v>17</v>
      </c>
      <c r="I130" s="4"/>
      <c r="J130" s="4"/>
      <c r="K130" s="4"/>
      <c r="L130" s="4"/>
      <c r="M130" s="4"/>
      <c r="N130" s="5" t="str">
        <f t="shared" si="1"/>
        <v>No</v>
      </c>
      <c r="O130" s="10" t="b">
        <f t="shared" si="2"/>
        <v>0</v>
      </c>
    </row>
    <row r="131" ht="15.75" customHeight="1">
      <c r="A131" s="15" t="s">
        <v>308</v>
      </c>
      <c r="B131" s="15" t="s">
        <v>309</v>
      </c>
      <c r="C131" s="15"/>
      <c r="D131" s="16">
        <v>2024.0</v>
      </c>
      <c r="E131" s="15" t="s">
        <v>103</v>
      </c>
      <c r="F131" s="20"/>
      <c r="G131" s="3"/>
      <c r="H131" s="3" t="s">
        <v>17</v>
      </c>
      <c r="I131" s="4"/>
      <c r="J131" s="4"/>
      <c r="K131" s="4"/>
      <c r="L131" s="4"/>
      <c r="M131" s="4"/>
      <c r="N131" s="5" t="str">
        <f t="shared" si="1"/>
        <v>No</v>
      </c>
      <c r="O131" s="10" t="b">
        <f t="shared" si="2"/>
        <v>0</v>
      </c>
    </row>
    <row r="132" ht="15.75" customHeight="1">
      <c r="A132" s="15" t="s">
        <v>310</v>
      </c>
      <c r="B132" s="15" t="s">
        <v>311</v>
      </c>
      <c r="C132" s="15"/>
      <c r="D132" s="16">
        <v>2024.0</v>
      </c>
      <c r="E132" s="15" t="s">
        <v>103</v>
      </c>
      <c r="F132" s="20"/>
      <c r="G132" s="3"/>
      <c r="H132" s="3" t="s">
        <v>17</v>
      </c>
      <c r="I132" s="4"/>
      <c r="J132" s="4"/>
      <c r="K132" s="4"/>
      <c r="L132" s="4"/>
      <c r="M132" s="4"/>
      <c r="N132" s="5" t="str">
        <f t="shared" si="1"/>
        <v>No</v>
      </c>
      <c r="O132" s="10" t="b">
        <f t="shared" si="2"/>
        <v>0</v>
      </c>
    </row>
    <row r="133" ht="15.75" customHeight="1">
      <c r="A133" s="15" t="s">
        <v>312</v>
      </c>
      <c r="B133" s="15" t="s">
        <v>313</v>
      </c>
      <c r="C133" s="15"/>
      <c r="D133" s="16">
        <v>2024.0</v>
      </c>
      <c r="E133" s="15" t="s">
        <v>103</v>
      </c>
      <c r="F133" s="20"/>
      <c r="G133" s="3"/>
      <c r="H133" s="3" t="s">
        <v>17</v>
      </c>
      <c r="I133" s="4"/>
      <c r="J133" s="4"/>
      <c r="K133" s="4"/>
      <c r="L133" s="4"/>
      <c r="M133" s="4"/>
      <c r="N133" s="5" t="str">
        <f t="shared" si="1"/>
        <v>No</v>
      </c>
      <c r="O133" s="10" t="b">
        <f t="shared" si="2"/>
        <v>0</v>
      </c>
    </row>
    <row r="134" ht="15.75" customHeight="1">
      <c r="A134" s="15" t="s">
        <v>314</v>
      </c>
      <c r="B134" s="15" t="s">
        <v>315</v>
      </c>
      <c r="C134" s="15"/>
      <c r="D134" s="16">
        <v>2023.0</v>
      </c>
      <c r="E134" s="15" t="s">
        <v>103</v>
      </c>
      <c r="F134" s="20"/>
      <c r="G134" s="3"/>
      <c r="H134" s="3" t="s">
        <v>17</v>
      </c>
      <c r="I134" s="4"/>
      <c r="J134" s="4"/>
      <c r="K134" s="4"/>
      <c r="L134" s="4"/>
      <c r="M134" s="4"/>
      <c r="N134" s="5" t="str">
        <f t="shared" si="1"/>
        <v>No</v>
      </c>
      <c r="O134" s="10" t="b">
        <f t="shared" si="2"/>
        <v>0</v>
      </c>
    </row>
    <row r="135" ht="15.75" customHeight="1">
      <c r="A135" s="15" t="s">
        <v>316</v>
      </c>
      <c r="B135" s="15" t="s">
        <v>317</v>
      </c>
      <c r="C135" s="15"/>
      <c r="D135" s="16">
        <v>2024.0</v>
      </c>
      <c r="E135" s="15" t="s">
        <v>103</v>
      </c>
      <c r="F135" s="20"/>
      <c r="G135" s="3"/>
      <c r="H135" s="3" t="s">
        <v>17</v>
      </c>
      <c r="I135" s="4"/>
      <c r="J135" s="4"/>
      <c r="K135" s="4"/>
      <c r="L135" s="4"/>
      <c r="M135" s="4"/>
      <c r="N135" s="5" t="str">
        <f t="shared" si="1"/>
        <v>No</v>
      </c>
      <c r="O135" s="10" t="b">
        <f t="shared" si="2"/>
        <v>0</v>
      </c>
    </row>
    <row r="136" ht="15.75" customHeight="1">
      <c r="A136" s="15" t="s">
        <v>318</v>
      </c>
      <c r="B136" s="15" t="s">
        <v>319</v>
      </c>
      <c r="C136" s="20"/>
      <c r="D136" s="16">
        <v>2024.0</v>
      </c>
      <c r="E136" s="20" t="s">
        <v>103</v>
      </c>
      <c r="F136" s="20"/>
      <c r="G136" s="3"/>
      <c r="H136" s="3" t="s">
        <v>17</v>
      </c>
      <c r="I136" s="4"/>
      <c r="J136" s="4"/>
      <c r="K136" s="4"/>
      <c r="L136" s="4"/>
      <c r="M136" s="4"/>
      <c r="N136" s="5" t="str">
        <f t="shared" si="1"/>
        <v>No</v>
      </c>
      <c r="O136" s="10" t="b">
        <f t="shared" si="2"/>
        <v>0</v>
      </c>
    </row>
    <row r="137" ht="15.75" customHeight="1">
      <c r="A137" s="15" t="s">
        <v>320</v>
      </c>
      <c r="B137" s="15" t="s">
        <v>321</v>
      </c>
      <c r="C137" s="15"/>
      <c r="D137" s="16">
        <v>2024.0</v>
      </c>
      <c r="E137" s="20" t="s">
        <v>103</v>
      </c>
      <c r="F137" s="20"/>
      <c r="G137" s="3"/>
      <c r="H137" s="3" t="s">
        <v>17</v>
      </c>
      <c r="I137" s="4"/>
      <c r="J137" s="4"/>
      <c r="K137" s="4"/>
      <c r="L137" s="4"/>
      <c r="M137" s="4"/>
      <c r="N137" s="5" t="str">
        <f t="shared" si="1"/>
        <v>No</v>
      </c>
      <c r="O137" s="10" t="b">
        <f t="shared" si="2"/>
        <v>0</v>
      </c>
    </row>
    <row r="138" ht="15.75" customHeight="1">
      <c r="A138" s="15" t="s">
        <v>322</v>
      </c>
      <c r="B138" s="15" t="s">
        <v>323</v>
      </c>
      <c r="C138" s="15"/>
      <c r="D138" s="16">
        <v>2025.0</v>
      </c>
      <c r="E138" s="15" t="s">
        <v>103</v>
      </c>
      <c r="F138" s="20"/>
      <c r="G138" s="3"/>
      <c r="H138" s="3" t="s">
        <v>17</v>
      </c>
      <c r="I138" s="4"/>
      <c r="J138" s="4"/>
      <c r="K138" s="4"/>
      <c r="L138" s="4"/>
      <c r="M138" s="4"/>
      <c r="N138" s="5" t="str">
        <f t="shared" si="1"/>
        <v>No</v>
      </c>
      <c r="O138" s="10" t="b">
        <f t="shared" si="2"/>
        <v>0</v>
      </c>
    </row>
    <row r="139" ht="15.75" customHeight="1">
      <c r="A139" s="15" t="s">
        <v>324</v>
      </c>
      <c r="B139" s="15" t="s">
        <v>325</v>
      </c>
      <c r="C139" s="20"/>
      <c r="D139" s="16">
        <v>2024.0</v>
      </c>
      <c r="E139" s="20" t="s">
        <v>103</v>
      </c>
      <c r="F139" s="20"/>
      <c r="G139" s="3"/>
      <c r="H139" s="3" t="s">
        <v>17</v>
      </c>
      <c r="I139" s="4"/>
      <c r="J139" s="4"/>
      <c r="K139" s="4"/>
      <c r="L139" s="4"/>
      <c r="M139" s="4"/>
      <c r="N139" s="5" t="str">
        <f t="shared" si="1"/>
        <v>No</v>
      </c>
      <c r="O139" s="10" t="b">
        <f t="shared" si="2"/>
        <v>0</v>
      </c>
    </row>
    <row r="140" ht="15.75" customHeight="1">
      <c r="A140" s="15" t="s">
        <v>326</v>
      </c>
      <c r="B140" s="15" t="s">
        <v>327</v>
      </c>
      <c r="C140" s="15"/>
      <c r="D140" s="16">
        <v>2024.0</v>
      </c>
      <c r="E140" s="15" t="s">
        <v>103</v>
      </c>
      <c r="F140" s="20"/>
      <c r="G140" s="3"/>
      <c r="H140" s="3" t="s">
        <v>17</v>
      </c>
      <c r="I140" s="4"/>
      <c r="J140" s="4"/>
      <c r="K140" s="4"/>
      <c r="L140" s="4"/>
      <c r="M140" s="4"/>
      <c r="N140" s="5" t="str">
        <f t="shared" si="1"/>
        <v>No</v>
      </c>
      <c r="O140" s="10" t="b">
        <f t="shared" si="2"/>
        <v>0</v>
      </c>
    </row>
    <row r="141" ht="15.75" customHeight="1">
      <c r="A141" s="15" t="s">
        <v>328</v>
      </c>
      <c r="B141" s="15" t="s">
        <v>329</v>
      </c>
      <c r="C141" s="15"/>
      <c r="D141" s="16">
        <v>2024.0</v>
      </c>
      <c r="E141" s="15" t="s">
        <v>103</v>
      </c>
      <c r="F141" s="20"/>
      <c r="G141" s="3"/>
      <c r="H141" s="3" t="s">
        <v>17</v>
      </c>
      <c r="I141" s="4"/>
      <c r="J141" s="4"/>
      <c r="K141" s="4"/>
      <c r="L141" s="4"/>
      <c r="M141" s="4"/>
      <c r="N141" s="5" t="str">
        <f t="shared" si="1"/>
        <v>No</v>
      </c>
      <c r="O141" s="10" t="b">
        <f t="shared" si="2"/>
        <v>0</v>
      </c>
    </row>
    <row r="142" ht="15.75" customHeight="1">
      <c r="A142" s="15" t="s">
        <v>330</v>
      </c>
      <c r="B142" s="15" t="s">
        <v>331</v>
      </c>
      <c r="C142" s="15"/>
      <c r="D142" s="16">
        <v>2025.0</v>
      </c>
      <c r="E142" s="20" t="s">
        <v>103</v>
      </c>
      <c r="F142" s="20"/>
      <c r="G142" s="3"/>
      <c r="H142" s="3" t="s">
        <v>17</v>
      </c>
      <c r="I142" s="4"/>
      <c r="J142" s="4"/>
      <c r="K142" s="4"/>
      <c r="L142" s="4"/>
      <c r="M142" s="4"/>
      <c r="N142" s="5" t="str">
        <f t="shared" si="1"/>
        <v>No</v>
      </c>
      <c r="O142" s="10" t="b">
        <f t="shared" si="2"/>
        <v>0</v>
      </c>
    </row>
    <row r="143" ht="15.75" customHeight="1">
      <c r="A143" s="15" t="s">
        <v>332</v>
      </c>
      <c r="B143" s="15" t="s">
        <v>333</v>
      </c>
      <c r="C143" s="15"/>
      <c r="D143" s="16">
        <v>2025.0</v>
      </c>
      <c r="E143" s="15" t="s">
        <v>103</v>
      </c>
      <c r="F143" s="20"/>
      <c r="G143" s="3"/>
      <c r="H143" s="3" t="s">
        <v>17</v>
      </c>
      <c r="I143" s="4"/>
      <c r="J143" s="4"/>
      <c r="K143" s="4"/>
      <c r="L143" s="4"/>
      <c r="M143" s="4"/>
      <c r="N143" s="5" t="str">
        <f t="shared" si="1"/>
        <v>No</v>
      </c>
      <c r="O143" s="10" t="b">
        <f t="shared" si="2"/>
        <v>0</v>
      </c>
    </row>
    <row r="144" ht="15.75" customHeight="1">
      <c r="A144" s="15" t="s">
        <v>334</v>
      </c>
      <c r="B144" s="15" t="s">
        <v>335</v>
      </c>
      <c r="C144" s="15"/>
      <c r="D144" s="16">
        <v>2024.0</v>
      </c>
      <c r="E144" s="20" t="s">
        <v>103</v>
      </c>
      <c r="F144" s="20"/>
      <c r="G144" s="3"/>
      <c r="H144" s="3" t="s">
        <v>17</v>
      </c>
      <c r="I144" s="4"/>
      <c r="J144" s="4"/>
      <c r="K144" s="4"/>
      <c r="L144" s="4"/>
      <c r="M144" s="4"/>
      <c r="N144" s="5" t="str">
        <f t="shared" si="1"/>
        <v>No</v>
      </c>
      <c r="O144" s="10" t="b">
        <f t="shared" si="2"/>
        <v>0</v>
      </c>
    </row>
    <row r="145" ht="15.75" customHeight="1">
      <c r="A145" s="15" t="s">
        <v>336</v>
      </c>
      <c r="B145" s="15" t="s">
        <v>337</v>
      </c>
      <c r="C145" s="15"/>
      <c r="D145" s="16">
        <v>2024.0</v>
      </c>
      <c r="E145" s="20" t="s">
        <v>103</v>
      </c>
      <c r="F145" s="20"/>
      <c r="G145" s="3"/>
      <c r="H145" s="3" t="s">
        <v>17</v>
      </c>
      <c r="I145" s="4"/>
      <c r="J145" s="4"/>
      <c r="K145" s="4"/>
      <c r="L145" s="4"/>
      <c r="M145" s="4"/>
      <c r="N145" s="5" t="str">
        <f t="shared" si="1"/>
        <v>No</v>
      </c>
      <c r="O145" s="10" t="b">
        <f t="shared" si="2"/>
        <v>0</v>
      </c>
    </row>
    <row r="146" ht="15.75" customHeight="1">
      <c r="A146" s="15" t="s">
        <v>338</v>
      </c>
      <c r="B146" s="15" t="s">
        <v>339</v>
      </c>
      <c r="C146" s="15"/>
      <c r="D146" s="16">
        <v>2024.0</v>
      </c>
      <c r="E146" s="20" t="s">
        <v>103</v>
      </c>
      <c r="F146" s="20"/>
      <c r="G146" s="3"/>
      <c r="H146" s="3" t="s">
        <v>17</v>
      </c>
      <c r="I146" s="4"/>
      <c r="J146" s="4"/>
      <c r="K146" s="4"/>
      <c r="L146" s="4"/>
      <c r="M146" s="4"/>
      <c r="N146" s="5" t="str">
        <f t="shared" si="1"/>
        <v>No</v>
      </c>
      <c r="O146" s="10" t="b">
        <f t="shared" si="2"/>
        <v>0</v>
      </c>
    </row>
    <row r="147" ht="15.75" customHeight="1">
      <c r="A147" s="15" t="s">
        <v>340</v>
      </c>
      <c r="B147" s="15" t="s">
        <v>341</v>
      </c>
      <c r="C147" s="15"/>
      <c r="D147" s="16">
        <v>2024.0</v>
      </c>
      <c r="E147" s="15" t="s">
        <v>103</v>
      </c>
      <c r="F147" s="20"/>
      <c r="G147" s="3"/>
      <c r="H147" s="3" t="s">
        <v>17</v>
      </c>
      <c r="I147" s="4"/>
      <c r="J147" s="4"/>
      <c r="K147" s="4"/>
      <c r="L147" s="4"/>
      <c r="M147" s="4"/>
      <c r="N147" s="5" t="str">
        <f t="shared" si="1"/>
        <v>No</v>
      </c>
      <c r="O147" s="10" t="b">
        <f t="shared" si="2"/>
        <v>0</v>
      </c>
    </row>
    <row r="148" ht="15.75" customHeight="1">
      <c r="A148" s="15" t="s">
        <v>342</v>
      </c>
      <c r="B148" s="15" t="s">
        <v>343</v>
      </c>
      <c r="C148" s="15"/>
      <c r="D148" s="16">
        <v>2024.0</v>
      </c>
      <c r="E148" s="15" t="s">
        <v>103</v>
      </c>
      <c r="F148" s="20"/>
      <c r="G148" s="3"/>
      <c r="H148" s="3" t="s">
        <v>17</v>
      </c>
      <c r="I148" s="4"/>
      <c r="J148" s="4"/>
      <c r="K148" s="4"/>
      <c r="L148" s="4"/>
      <c r="M148" s="4"/>
      <c r="N148" s="5" t="str">
        <f t="shared" si="1"/>
        <v>No</v>
      </c>
      <c r="O148" s="10" t="b">
        <f t="shared" si="2"/>
        <v>0</v>
      </c>
    </row>
    <row r="149" ht="15.75" customHeight="1">
      <c r="A149" s="15" t="s">
        <v>344</v>
      </c>
      <c r="B149" s="15" t="s">
        <v>345</v>
      </c>
      <c r="C149" s="15"/>
      <c r="D149" s="16">
        <v>2024.0</v>
      </c>
      <c r="E149" s="15" t="s">
        <v>103</v>
      </c>
      <c r="F149" s="20"/>
      <c r="G149" s="3"/>
      <c r="H149" s="3" t="s">
        <v>17</v>
      </c>
      <c r="I149" s="4"/>
      <c r="J149" s="4"/>
      <c r="K149" s="4"/>
      <c r="L149" s="4"/>
      <c r="M149" s="4"/>
      <c r="N149" s="5" t="str">
        <f t="shared" si="1"/>
        <v>No</v>
      </c>
      <c r="O149" s="10" t="b">
        <f t="shared" si="2"/>
        <v>0</v>
      </c>
    </row>
    <row r="150" ht="15.75" customHeight="1">
      <c r="A150" s="15" t="s">
        <v>346</v>
      </c>
      <c r="B150" s="15" t="s">
        <v>347</v>
      </c>
      <c r="C150" s="15"/>
      <c r="D150" s="16">
        <v>2024.0</v>
      </c>
      <c r="E150" s="15" t="s">
        <v>103</v>
      </c>
      <c r="F150" s="20"/>
      <c r="G150" s="3"/>
      <c r="H150" s="3" t="s">
        <v>17</v>
      </c>
      <c r="I150" s="4"/>
      <c r="J150" s="4"/>
      <c r="K150" s="4"/>
      <c r="L150" s="4"/>
      <c r="M150" s="4"/>
      <c r="N150" s="5" t="str">
        <f t="shared" si="1"/>
        <v>No</v>
      </c>
      <c r="O150" s="10" t="b">
        <f t="shared" si="2"/>
        <v>0</v>
      </c>
    </row>
    <row r="151" ht="15.75" customHeight="1">
      <c r="A151" s="15" t="s">
        <v>348</v>
      </c>
      <c r="B151" s="15" t="s">
        <v>349</v>
      </c>
      <c r="C151" s="15"/>
      <c r="D151" s="16">
        <v>2025.0</v>
      </c>
      <c r="E151" s="20" t="s">
        <v>103</v>
      </c>
      <c r="F151" s="20"/>
      <c r="G151" s="3"/>
      <c r="H151" s="3" t="s">
        <v>17</v>
      </c>
      <c r="I151" s="4"/>
      <c r="J151" s="4"/>
      <c r="K151" s="4"/>
      <c r="L151" s="4"/>
      <c r="M151" s="4"/>
      <c r="N151" s="5" t="str">
        <f t="shared" si="1"/>
        <v>No</v>
      </c>
      <c r="O151" s="10" t="b">
        <f t="shared" si="2"/>
        <v>0</v>
      </c>
    </row>
    <row r="152" ht="15.75" customHeight="1">
      <c r="A152" s="15" t="s">
        <v>350</v>
      </c>
      <c r="B152" s="15" t="s">
        <v>351</v>
      </c>
      <c r="C152" s="20"/>
      <c r="D152" s="16">
        <v>2024.0</v>
      </c>
      <c r="E152" s="15" t="s">
        <v>103</v>
      </c>
      <c r="F152" s="20"/>
      <c r="G152" s="3"/>
      <c r="H152" s="3" t="s">
        <v>17</v>
      </c>
      <c r="I152" s="4"/>
      <c r="J152" s="4"/>
      <c r="K152" s="4"/>
      <c r="L152" s="4"/>
      <c r="M152" s="4"/>
      <c r="N152" s="5" t="str">
        <f t="shared" si="1"/>
        <v>No</v>
      </c>
      <c r="O152" s="10" t="b">
        <f t="shared" si="2"/>
        <v>0</v>
      </c>
    </row>
    <row r="153" ht="15.75" customHeight="1">
      <c r="A153" s="15" t="s">
        <v>352</v>
      </c>
      <c r="B153" s="15" t="s">
        <v>353</v>
      </c>
      <c r="C153" s="15"/>
      <c r="D153" s="16">
        <v>2024.0</v>
      </c>
      <c r="E153" s="20" t="s">
        <v>103</v>
      </c>
      <c r="F153" s="20"/>
      <c r="G153" s="3"/>
      <c r="H153" s="3" t="s">
        <v>17</v>
      </c>
      <c r="I153" s="4"/>
      <c r="J153" s="4"/>
      <c r="K153" s="4"/>
      <c r="L153" s="4"/>
      <c r="M153" s="4"/>
      <c r="N153" s="5" t="str">
        <f t="shared" si="1"/>
        <v>No</v>
      </c>
      <c r="O153" s="10" t="b">
        <f t="shared" si="2"/>
        <v>0</v>
      </c>
    </row>
    <row r="154" ht="15.75" customHeight="1">
      <c r="A154" s="1" t="s">
        <v>354</v>
      </c>
      <c r="B154" s="1" t="s">
        <v>355</v>
      </c>
      <c r="C154" s="1"/>
      <c r="D154" s="1">
        <v>2024.0</v>
      </c>
      <c r="E154" s="1" t="s">
        <v>103</v>
      </c>
      <c r="F154" s="2"/>
      <c r="G154" s="3"/>
      <c r="H154" s="3" t="s">
        <v>17</v>
      </c>
      <c r="I154" s="4"/>
      <c r="J154" s="4"/>
      <c r="K154" s="4"/>
      <c r="L154" s="4"/>
      <c r="M154" s="4"/>
      <c r="N154" s="5" t="str">
        <f t="shared" si="1"/>
        <v>No</v>
      </c>
      <c r="O154" s="10" t="b">
        <f t="shared" si="2"/>
        <v>0</v>
      </c>
    </row>
    <row r="155" ht="15.75" customHeight="1">
      <c r="A155" s="1" t="s">
        <v>356</v>
      </c>
      <c r="B155" s="1" t="s">
        <v>357</v>
      </c>
      <c r="C155" s="1"/>
      <c r="D155" s="1">
        <v>2024.0</v>
      </c>
      <c r="E155" s="1" t="s">
        <v>103</v>
      </c>
      <c r="F155" s="2"/>
      <c r="G155" s="3"/>
      <c r="H155" s="3" t="s">
        <v>17</v>
      </c>
      <c r="I155" s="4"/>
      <c r="J155" s="4"/>
      <c r="K155" s="4"/>
      <c r="L155" s="4"/>
      <c r="M155" s="4"/>
      <c r="N155" s="5" t="str">
        <f t="shared" si="1"/>
        <v>No</v>
      </c>
      <c r="O155" s="10" t="b">
        <f t="shared" si="2"/>
        <v>0</v>
      </c>
    </row>
    <row r="156" ht="15.75" customHeight="1">
      <c r="A156" s="1" t="s">
        <v>358</v>
      </c>
      <c r="B156" s="1" t="s">
        <v>359</v>
      </c>
      <c r="C156" s="1"/>
      <c r="D156" s="1">
        <v>2024.0</v>
      </c>
      <c r="E156" s="1" t="s">
        <v>103</v>
      </c>
      <c r="F156" s="2"/>
      <c r="G156" s="3"/>
      <c r="H156" s="3" t="s">
        <v>17</v>
      </c>
      <c r="I156" s="4"/>
      <c r="J156" s="4"/>
      <c r="K156" s="4"/>
      <c r="L156" s="4"/>
      <c r="M156" s="4"/>
      <c r="N156" s="5" t="str">
        <f t="shared" si="1"/>
        <v>No</v>
      </c>
      <c r="O156" s="10" t="b">
        <f t="shared" si="2"/>
        <v>0</v>
      </c>
    </row>
    <row r="157" ht="15.75" customHeight="1">
      <c r="A157" s="1" t="s">
        <v>360</v>
      </c>
      <c r="B157" s="1" t="s">
        <v>361</v>
      </c>
      <c r="C157" s="1"/>
      <c r="D157" s="1">
        <v>2024.0</v>
      </c>
      <c r="E157" s="1" t="s">
        <v>362</v>
      </c>
      <c r="F157" s="2"/>
      <c r="G157" s="3"/>
      <c r="H157" s="3"/>
      <c r="I157" s="4"/>
      <c r="J157" s="4"/>
      <c r="K157" s="4" t="s">
        <v>17</v>
      </c>
      <c r="L157" s="4"/>
      <c r="M157" s="4"/>
      <c r="N157" s="5" t="str">
        <f t="shared" si="1"/>
        <v>No</v>
      </c>
      <c r="O157" s="10" t="b">
        <f t="shared" si="2"/>
        <v>0</v>
      </c>
    </row>
    <row r="158" ht="15.75" customHeight="1">
      <c r="A158" s="31" t="s">
        <v>363</v>
      </c>
      <c r="B158" s="31" t="s">
        <v>55</v>
      </c>
      <c r="C158" s="31"/>
      <c r="D158" s="31">
        <v>2025.0</v>
      </c>
      <c r="E158" s="31" t="s">
        <v>362</v>
      </c>
      <c r="F158" s="10"/>
      <c r="G158" s="32"/>
      <c r="H158" s="32"/>
      <c r="I158" s="32"/>
      <c r="J158" s="32"/>
      <c r="K158" s="32"/>
      <c r="L158" s="32"/>
      <c r="M158" s="32"/>
      <c r="N158" s="32" t="s">
        <v>364</v>
      </c>
      <c r="O158" s="10" t="b">
        <f t="shared" si="2"/>
        <v>1</v>
      </c>
    </row>
    <row r="159" ht="15.75" customHeight="1">
      <c r="A159" s="1" t="s">
        <v>365</v>
      </c>
      <c r="B159" s="1" t="s">
        <v>366</v>
      </c>
      <c r="C159" s="1"/>
      <c r="D159" s="1">
        <v>2024.0</v>
      </c>
      <c r="E159" s="1" t="s">
        <v>362</v>
      </c>
      <c r="F159" s="2"/>
      <c r="G159" s="3"/>
      <c r="H159" s="3"/>
      <c r="I159" s="4"/>
      <c r="J159" s="4"/>
      <c r="K159" s="4"/>
      <c r="L159" s="4"/>
      <c r="M159" s="4"/>
      <c r="N159" s="5" t="str">
        <f t="shared" ref="N159:N180" si="3">IF(OR(G159="x",H159="x",I159="x",K159="x",J159="x",L159="x",M159="x"), "No", "Yes")</f>
        <v>Yes</v>
      </c>
      <c r="O159" s="10" t="b">
        <f t="shared" si="2"/>
        <v>0</v>
      </c>
    </row>
    <row r="160" ht="15.75" customHeight="1">
      <c r="A160" s="1" t="s">
        <v>367</v>
      </c>
      <c r="B160" s="1" t="s">
        <v>368</v>
      </c>
      <c r="C160" s="1"/>
      <c r="D160" s="1"/>
      <c r="E160" s="1"/>
      <c r="F160" s="2"/>
      <c r="G160" s="3"/>
      <c r="H160" s="19" t="s">
        <v>17</v>
      </c>
      <c r="I160" s="4"/>
      <c r="J160" s="4"/>
      <c r="K160" s="4"/>
      <c r="L160" s="4"/>
      <c r="M160" s="4"/>
      <c r="N160" s="5" t="str">
        <f t="shared" si="3"/>
        <v>No</v>
      </c>
      <c r="O160" s="10" t="b">
        <f t="shared" si="2"/>
        <v>0</v>
      </c>
    </row>
    <row r="161" ht="15.75" customHeight="1">
      <c r="A161" s="33" t="s">
        <v>369</v>
      </c>
      <c r="B161" s="34" t="s">
        <v>370</v>
      </c>
      <c r="C161" s="35"/>
      <c r="D161" s="36">
        <v>2025.0</v>
      </c>
      <c r="E161" s="35" t="s">
        <v>371</v>
      </c>
      <c r="F161" s="2"/>
      <c r="G161" s="3"/>
      <c r="H161" s="3" t="s">
        <v>17</v>
      </c>
      <c r="I161" s="4"/>
      <c r="J161" s="4"/>
      <c r="K161" s="4"/>
      <c r="L161" s="4"/>
      <c r="M161" s="4"/>
      <c r="N161" s="5" t="str">
        <f t="shared" si="3"/>
        <v>No</v>
      </c>
      <c r="O161" s="10" t="b">
        <f t="shared" si="2"/>
        <v>0</v>
      </c>
    </row>
    <row r="162" ht="28.5" customHeight="1">
      <c r="A162" s="35" t="s">
        <v>372</v>
      </c>
      <c r="B162" s="37" t="s">
        <v>373</v>
      </c>
      <c r="C162" s="35"/>
      <c r="D162" s="36">
        <v>2025.0</v>
      </c>
      <c r="E162" s="35"/>
      <c r="F162" s="2"/>
      <c r="G162" s="3" t="s">
        <v>17</v>
      </c>
      <c r="H162" s="3"/>
      <c r="I162" s="4"/>
      <c r="J162" s="4"/>
      <c r="K162" s="4"/>
      <c r="L162" s="4"/>
      <c r="M162" s="4"/>
      <c r="N162" s="5" t="str">
        <f t="shared" si="3"/>
        <v>No</v>
      </c>
      <c r="O162" s="10" t="b">
        <f t="shared" si="2"/>
        <v>0</v>
      </c>
    </row>
    <row r="163" ht="15.75" customHeight="1">
      <c r="A163" s="35" t="s">
        <v>374</v>
      </c>
      <c r="B163" s="37" t="s">
        <v>375</v>
      </c>
      <c r="C163" s="35"/>
      <c r="D163" s="36">
        <v>2025.0</v>
      </c>
      <c r="E163" s="35"/>
      <c r="F163" s="2"/>
      <c r="G163" s="3"/>
      <c r="H163" s="19" t="s">
        <v>17</v>
      </c>
      <c r="I163" s="4"/>
      <c r="J163" s="38" t="s">
        <v>17</v>
      </c>
      <c r="K163" s="4"/>
      <c r="L163" s="4"/>
      <c r="M163" s="4"/>
      <c r="N163" s="5" t="str">
        <f t="shared" si="3"/>
        <v>No</v>
      </c>
      <c r="O163" s="10" t="b">
        <f t="shared" si="2"/>
        <v>0</v>
      </c>
    </row>
    <row r="164" ht="15.75" customHeight="1">
      <c r="A164" s="33" t="s">
        <v>376</v>
      </c>
      <c r="B164" s="37" t="s">
        <v>377</v>
      </c>
      <c r="C164" s="35"/>
      <c r="D164" s="36">
        <v>2025.0</v>
      </c>
      <c r="E164" s="35"/>
      <c r="F164" s="2"/>
      <c r="G164" s="3" t="s">
        <v>17</v>
      </c>
      <c r="H164" s="3"/>
      <c r="I164" s="4"/>
      <c r="J164" s="4"/>
      <c r="K164" s="4"/>
      <c r="L164" s="4"/>
      <c r="M164" s="4"/>
      <c r="N164" s="5" t="str">
        <f t="shared" si="3"/>
        <v>No</v>
      </c>
      <c r="O164" s="10" t="b">
        <f t="shared" si="2"/>
        <v>0</v>
      </c>
    </row>
    <row r="165" ht="15.75" customHeight="1">
      <c r="A165" s="35" t="s">
        <v>378</v>
      </c>
      <c r="B165" s="37" t="s">
        <v>379</v>
      </c>
      <c r="C165" s="35"/>
      <c r="D165" s="36">
        <v>2025.0</v>
      </c>
      <c r="E165" s="35"/>
      <c r="F165" s="2"/>
      <c r="G165" s="3"/>
      <c r="H165" s="19" t="s">
        <v>17</v>
      </c>
      <c r="I165" s="4"/>
      <c r="J165" s="4"/>
      <c r="K165" s="4"/>
      <c r="L165" s="4"/>
      <c r="M165" s="4"/>
      <c r="N165" s="5" t="str">
        <f t="shared" si="3"/>
        <v>No</v>
      </c>
      <c r="O165" s="10" t="b">
        <f t="shared" si="2"/>
        <v>0</v>
      </c>
    </row>
    <row r="166" ht="15.75" customHeight="1">
      <c r="A166" s="35" t="s">
        <v>380</v>
      </c>
      <c r="B166" s="37" t="s">
        <v>381</v>
      </c>
      <c r="C166" s="35"/>
      <c r="D166" s="35"/>
      <c r="E166" s="35"/>
      <c r="F166" s="2"/>
      <c r="G166" s="3"/>
      <c r="H166" s="19"/>
      <c r="I166" s="38" t="s">
        <v>17</v>
      </c>
      <c r="J166" s="4"/>
      <c r="K166" s="4"/>
      <c r="L166" s="4"/>
      <c r="M166" s="4"/>
      <c r="N166" s="5" t="str">
        <f t="shared" si="3"/>
        <v>No</v>
      </c>
      <c r="O166" s="10" t="b">
        <f t="shared" si="2"/>
        <v>0</v>
      </c>
    </row>
    <row r="167" ht="37.5" customHeight="1">
      <c r="A167" s="35" t="s">
        <v>382</v>
      </c>
      <c r="B167" s="39" t="s">
        <v>383</v>
      </c>
      <c r="C167" s="35"/>
      <c r="D167" s="36">
        <v>2025.0</v>
      </c>
      <c r="E167" s="35" t="s">
        <v>362</v>
      </c>
      <c r="F167" s="2"/>
      <c r="G167" s="3"/>
      <c r="H167" s="3" t="s">
        <v>17</v>
      </c>
      <c r="I167" s="4"/>
      <c r="J167" s="4"/>
      <c r="K167" s="4"/>
      <c r="L167" s="4"/>
      <c r="M167" s="4"/>
      <c r="N167" s="5" t="str">
        <f t="shared" si="3"/>
        <v>No</v>
      </c>
      <c r="O167" s="10" t="b">
        <f t="shared" si="2"/>
        <v>0</v>
      </c>
    </row>
    <row r="168" ht="15.75" customHeight="1">
      <c r="A168" s="35" t="s">
        <v>384</v>
      </c>
      <c r="B168" s="39" t="s">
        <v>385</v>
      </c>
      <c r="C168" s="35"/>
      <c r="D168" s="36">
        <v>2025.0</v>
      </c>
      <c r="E168" s="35" t="s">
        <v>35</v>
      </c>
      <c r="F168" s="2"/>
      <c r="G168" s="3"/>
      <c r="H168" s="3"/>
      <c r="I168" s="4"/>
      <c r="J168" s="4"/>
      <c r="K168" s="4"/>
      <c r="L168" s="4"/>
      <c r="M168" s="4"/>
      <c r="N168" s="5" t="str">
        <f t="shared" si="3"/>
        <v>Yes</v>
      </c>
      <c r="O168" s="10" t="b">
        <f t="shared" si="2"/>
        <v>0</v>
      </c>
    </row>
    <row r="169" ht="15.75" customHeight="1">
      <c r="A169" s="35" t="s">
        <v>386</v>
      </c>
      <c r="B169" s="39" t="s">
        <v>387</v>
      </c>
      <c r="C169" s="35"/>
      <c r="D169" s="36">
        <v>2025.0</v>
      </c>
      <c r="E169" s="35"/>
      <c r="F169" s="2"/>
      <c r="G169" s="3" t="s">
        <v>17</v>
      </c>
      <c r="H169" s="3"/>
      <c r="I169" s="4"/>
      <c r="J169" s="4"/>
      <c r="K169" s="4"/>
      <c r="L169" s="4"/>
      <c r="M169" s="4"/>
      <c r="N169" s="5" t="str">
        <f t="shared" si="3"/>
        <v>No</v>
      </c>
      <c r="O169" s="10" t="b">
        <f t="shared" si="2"/>
        <v>0</v>
      </c>
    </row>
    <row r="170" ht="15.75" customHeight="1">
      <c r="A170" s="35" t="s">
        <v>388</v>
      </c>
      <c r="B170" s="39" t="s">
        <v>389</v>
      </c>
      <c r="C170" s="35"/>
      <c r="D170" s="36">
        <v>2025.0</v>
      </c>
      <c r="E170" s="35" t="s">
        <v>390</v>
      </c>
      <c r="F170" s="2"/>
      <c r="G170" s="3"/>
      <c r="H170" s="3"/>
      <c r="I170" s="4"/>
      <c r="J170" s="4"/>
      <c r="K170" s="4"/>
      <c r="L170" s="4"/>
      <c r="M170" s="4"/>
      <c r="N170" s="5" t="str">
        <f t="shared" si="3"/>
        <v>Yes</v>
      </c>
      <c r="O170" s="10" t="b">
        <f t="shared" si="2"/>
        <v>0</v>
      </c>
    </row>
    <row r="171" ht="15.75" customHeight="1">
      <c r="A171" s="35" t="s">
        <v>391</v>
      </c>
      <c r="B171" s="39" t="s">
        <v>392</v>
      </c>
      <c r="C171" s="35"/>
      <c r="D171" s="36">
        <v>2025.0</v>
      </c>
      <c r="E171" s="35" t="s">
        <v>393</v>
      </c>
      <c r="F171" s="2"/>
      <c r="G171" s="3"/>
      <c r="H171" s="3"/>
      <c r="I171" s="4"/>
      <c r="J171" s="4"/>
      <c r="K171" s="4"/>
      <c r="L171" s="4"/>
      <c r="M171" s="4"/>
      <c r="N171" s="5" t="str">
        <f t="shared" si="3"/>
        <v>Yes</v>
      </c>
      <c r="O171" s="10" t="b">
        <f t="shared" si="2"/>
        <v>0</v>
      </c>
    </row>
    <row r="172" ht="15.75" customHeight="1">
      <c r="A172" s="35" t="s">
        <v>394</v>
      </c>
      <c r="B172" s="39" t="s">
        <v>395</v>
      </c>
      <c r="C172" s="35"/>
      <c r="D172" s="36">
        <v>2025.0</v>
      </c>
      <c r="E172" s="35" t="s">
        <v>396</v>
      </c>
      <c r="F172" s="2"/>
      <c r="G172" s="3"/>
      <c r="H172" s="3"/>
      <c r="I172" s="4"/>
      <c r="J172" s="4"/>
      <c r="K172" s="4"/>
      <c r="L172" s="4"/>
      <c r="M172" s="4"/>
      <c r="N172" s="5" t="str">
        <f t="shared" si="3"/>
        <v>Yes</v>
      </c>
      <c r="O172" s="10" t="b">
        <f t="shared" si="2"/>
        <v>0</v>
      </c>
    </row>
    <row r="173" ht="15.75" customHeight="1">
      <c r="A173" s="33" t="s">
        <v>397</v>
      </c>
      <c r="B173" s="37" t="s">
        <v>398</v>
      </c>
      <c r="C173" s="35"/>
      <c r="D173" s="36">
        <v>2025.0</v>
      </c>
      <c r="E173" s="35"/>
      <c r="F173" s="2"/>
      <c r="G173" s="3" t="s">
        <v>17</v>
      </c>
      <c r="H173" s="3"/>
      <c r="I173" s="4"/>
      <c r="J173" s="4"/>
      <c r="K173" s="4"/>
      <c r="L173" s="4"/>
      <c r="M173" s="4"/>
      <c r="N173" s="5" t="str">
        <f t="shared" si="3"/>
        <v>No</v>
      </c>
      <c r="O173" s="10" t="b">
        <f t="shared" si="2"/>
        <v>0</v>
      </c>
    </row>
    <row r="174" ht="15.75" customHeight="1">
      <c r="A174" s="34" t="s">
        <v>399</v>
      </c>
      <c r="B174" s="37" t="s">
        <v>400</v>
      </c>
      <c r="C174" s="35"/>
      <c r="D174" s="36">
        <v>2025.0</v>
      </c>
      <c r="E174" s="35"/>
      <c r="F174" s="2"/>
      <c r="G174" s="3" t="s">
        <v>17</v>
      </c>
      <c r="H174" s="3"/>
      <c r="I174" s="4"/>
      <c r="J174" s="4"/>
      <c r="K174" s="4"/>
      <c r="L174" s="4"/>
      <c r="M174" s="4"/>
      <c r="N174" s="5" t="str">
        <f t="shared" si="3"/>
        <v>No</v>
      </c>
      <c r="O174" s="10" t="b">
        <f t="shared" si="2"/>
        <v>0</v>
      </c>
    </row>
    <row r="175" ht="15.75" customHeight="1">
      <c r="A175" s="35" t="s">
        <v>401</v>
      </c>
      <c r="B175" s="39" t="s">
        <v>402</v>
      </c>
      <c r="C175" s="35"/>
      <c r="D175" s="36">
        <v>2025.0</v>
      </c>
      <c r="E175" s="35" t="s">
        <v>35</v>
      </c>
      <c r="F175" s="2"/>
      <c r="G175" s="3"/>
      <c r="H175" s="3" t="s">
        <v>17</v>
      </c>
      <c r="I175" s="4"/>
      <c r="J175" s="4"/>
      <c r="K175" s="4"/>
      <c r="L175" s="4"/>
      <c r="M175" s="4"/>
      <c r="N175" s="5" t="str">
        <f t="shared" si="3"/>
        <v>No</v>
      </c>
      <c r="O175" s="10" t="b">
        <f t="shared" si="2"/>
        <v>0</v>
      </c>
    </row>
    <row r="176" ht="15.75" customHeight="1">
      <c r="A176" s="35" t="s">
        <v>403</v>
      </c>
      <c r="B176" s="39" t="s">
        <v>404</v>
      </c>
      <c r="C176" s="35"/>
      <c r="D176" s="36">
        <v>2025.0</v>
      </c>
      <c r="E176" s="35"/>
      <c r="F176" s="2"/>
      <c r="G176" s="3"/>
      <c r="H176" s="3"/>
      <c r="I176" s="4"/>
      <c r="J176" s="4"/>
      <c r="K176" s="4" t="s">
        <v>17</v>
      </c>
      <c r="L176" s="4"/>
      <c r="M176" s="4"/>
      <c r="N176" s="5" t="str">
        <f t="shared" si="3"/>
        <v>No</v>
      </c>
      <c r="O176" s="10" t="b">
        <f t="shared" si="2"/>
        <v>0</v>
      </c>
    </row>
    <row r="177" ht="15.75" customHeight="1">
      <c r="A177" s="35" t="s">
        <v>405</v>
      </c>
      <c r="B177" s="39" t="s">
        <v>406</v>
      </c>
      <c r="C177" s="35"/>
      <c r="D177" s="36">
        <v>2025.0</v>
      </c>
      <c r="E177" s="35"/>
      <c r="F177" s="2"/>
      <c r="G177" s="3"/>
      <c r="H177" s="3"/>
      <c r="I177" s="4"/>
      <c r="J177" s="4"/>
      <c r="K177" s="4"/>
      <c r="L177" s="4"/>
      <c r="M177" s="4"/>
      <c r="N177" s="5" t="str">
        <f t="shared" si="3"/>
        <v>Yes</v>
      </c>
      <c r="O177" s="10" t="b">
        <f t="shared" si="2"/>
        <v>0</v>
      </c>
    </row>
    <row r="178" ht="15.75" customHeight="1">
      <c r="A178" s="35" t="s">
        <v>407</v>
      </c>
      <c r="B178" s="39" t="s">
        <v>408</v>
      </c>
      <c r="C178" s="35"/>
      <c r="D178" s="36">
        <v>2025.0</v>
      </c>
      <c r="E178" s="35" t="s">
        <v>409</v>
      </c>
      <c r="F178" s="2"/>
      <c r="G178" s="3"/>
      <c r="H178" s="3"/>
      <c r="I178" s="4"/>
      <c r="J178" s="4"/>
      <c r="K178" s="4"/>
      <c r="L178" s="4"/>
      <c r="M178" s="4"/>
      <c r="N178" s="5" t="str">
        <f t="shared" si="3"/>
        <v>Yes</v>
      </c>
      <c r="O178" s="10" t="b">
        <f t="shared" si="2"/>
        <v>0</v>
      </c>
    </row>
    <row r="179" ht="15.75" customHeight="1">
      <c r="A179" s="35" t="s">
        <v>410</v>
      </c>
      <c r="B179" s="39" t="s">
        <v>411</v>
      </c>
      <c r="C179" s="35"/>
      <c r="D179" s="36">
        <v>2025.0</v>
      </c>
      <c r="E179" s="35"/>
      <c r="F179" s="2"/>
      <c r="G179" s="3" t="s">
        <v>17</v>
      </c>
      <c r="H179" s="3"/>
      <c r="I179" s="4"/>
      <c r="J179" s="4"/>
      <c r="K179" s="4"/>
      <c r="L179" s="4"/>
      <c r="M179" s="4"/>
      <c r="N179" s="5" t="str">
        <f t="shared" si="3"/>
        <v>No</v>
      </c>
      <c r="O179" s="10" t="b">
        <f t="shared" si="2"/>
        <v>0</v>
      </c>
    </row>
    <row r="180" ht="15.75" customHeight="1">
      <c r="A180" s="35" t="s">
        <v>412</v>
      </c>
      <c r="B180" s="39" t="s">
        <v>413</v>
      </c>
      <c r="C180" s="35"/>
      <c r="D180" s="36">
        <v>2025.0</v>
      </c>
      <c r="E180" s="35"/>
      <c r="F180" s="2"/>
      <c r="G180" s="3" t="s">
        <v>17</v>
      </c>
      <c r="H180" s="3"/>
      <c r="I180" s="4"/>
      <c r="J180" s="4"/>
      <c r="K180" s="4"/>
      <c r="L180" s="4"/>
      <c r="M180" s="4"/>
      <c r="N180" s="5" t="str">
        <f t="shared" si="3"/>
        <v>No</v>
      </c>
      <c r="O180" s="10" t="b">
        <f t="shared" si="2"/>
        <v>0</v>
      </c>
    </row>
    <row r="181" ht="15.75" customHeight="1">
      <c r="A181" s="1"/>
      <c r="B181" s="40"/>
      <c r="C181" s="1"/>
      <c r="D181" s="1"/>
      <c r="E181" s="1"/>
      <c r="F181" s="2"/>
      <c r="G181" s="3"/>
      <c r="H181" s="3"/>
      <c r="I181" s="4"/>
      <c r="J181" s="4"/>
      <c r="K181" s="4"/>
      <c r="L181" s="4"/>
      <c r="M181" s="4"/>
      <c r="N181" s="5"/>
      <c r="O181" s="10"/>
    </row>
    <row r="182" ht="15.75" customHeight="1">
      <c r="A182" s="1"/>
      <c r="B182" s="40"/>
      <c r="C182" s="1"/>
      <c r="D182" s="1"/>
      <c r="E182" s="1"/>
      <c r="F182" s="2"/>
      <c r="G182" s="3"/>
      <c r="H182" s="3"/>
      <c r="I182" s="4"/>
      <c r="J182" s="4"/>
      <c r="K182" s="4"/>
      <c r="L182" s="4"/>
      <c r="M182" s="4"/>
      <c r="N182" s="5"/>
      <c r="O182" s="10"/>
    </row>
    <row r="183" ht="15.75" customHeight="1">
      <c r="A183" s="1"/>
      <c r="B183" s="40"/>
      <c r="C183" s="1"/>
      <c r="D183" s="1"/>
      <c r="E183" s="1"/>
      <c r="F183" s="2"/>
      <c r="G183" s="3"/>
      <c r="H183" s="3"/>
      <c r="I183" s="4"/>
      <c r="J183" s="4"/>
      <c r="K183" s="4"/>
      <c r="L183" s="4"/>
      <c r="M183" s="4"/>
      <c r="N183" s="5"/>
      <c r="O183" s="10"/>
    </row>
    <row r="184" ht="15.75" customHeight="1">
      <c r="A184" s="1"/>
      <c r="B184" s="40"/>
      <c r="C184" s="1"/>
      <c r="D184" s="1"/>
      <c r="E184" s="1"/>
      <c r="F184" s="2"/>
      <c r="G184" s="3"/>
      <c r="H184" s="3"/>
      <c r="I184" s="4"/>
      <c r="J184" s="4"/>
      <c r="K184" s="4"/>
      <c r="L184" s="4"/>
      <c r="M184" s="4"/>
      <c r="N184" s="5"/>
      <c r="O184" s="10"/>
    </row>
    <row r="185" ht="15.75" customHeight="1">
      <c r="A185" s="1"/>
      <c r="B185" s="40"/>
      <c r="C185" s="1"/>
      <c r="D185" s="1"/>
      <c r="E185" s="1"/>
      <c r="F185" s="2"/>
      <c r="G185" s="3"/>
      <c r="H185" s="3"/>
      <c r="I185" s="4"/>
      <c r="J185" s="4"/>
      <c r="K185" s="4"/>
      <c r="L185" s="4"/>
      <c r="M185" s="4"/>
      <c r="N185" s="5"/>
      <c r="O185" s="10"/>
    </row>
    <row r="186" ht="15.75" customHeight="1">
      <c r="A186" s="1"/>
      <c r="B186" s="40"/>
      <c r="C186" s="1"/>
      <c r="D186" s="1"/>
      <c r="E186" s="1"/>
      <c r="F186" s="2"/>
      <c r="G186" s="3"/>
      <c r="H186" s="3"/>
      <c r="I186" s="4"/>
      <c r="J186" s="4"/>
      <c r="K186" s="4"/>
      <c r="L186" s="4"/>
      <c r="M186" s="4"/>
      <c r="N186" s="5"/>
      <c r="O186" s="10"/>
    </row>
    <row r="187" ht="15.75" customHeight="1">
      <c r="A187" s="1"/>
      <c r="B187" s="40"/>
      <c r="C187" s="1"/>
      <c r="D187" s="1"/>
      <c r="E187" s="1"/>
      <c r="F187" s="2"/>
      <c r="G187" s="3"/>
      <c r="H187" s="3"/>
      <c r="I187" s="4"/>
      <c r="J187" s="4"/>
      <c r="K187" s="4"/>
      <c r="L187" s="4"/>
      <c r="M187" s="4"/>
      <c r="N187" s="5"/>
      <c r="O187" s="10"/>
    </row>
    <row r="188" ht="15.75" customHeight="1">
      <c r="A188" s="1"/>
      <c r="B188" s="40"/>
      <c r="C188" s="1"/>
      <c r="D188" s="1"/>
      <c r="E188" s="1"/>
      <c r="F188" s="2"/>
      <c r="G188" s="3"/>
      <c r="H188" s="3"/>
      <c r="I188" s="4"/>
      <c r="J188" s="4"/>
      <c r="K188" s="4"/>
      <c r="L188" s="4"/>
      <c r="M188" s="4"/>
      <c r="N188" s="5"/>
      <c r="O188" s="10"/>
    </row>
    <row r="189" ht="15.75" customHeight="1">
      <c r="A189" s="1"/>
      <c r="B189" s="40"/>
      <c r="C189" s="1"/>
      <c r="D189" s="1"/>
      <c r="E189" s="1"/>
      <c r="F189" s="2"/>
      <c r="G189" s="3"/>
      <c r="H189" s="3"/>
      <c r="I189" s="4"/>
      <c r="J189" s="4"/>
      <c r="K189" s="4"/>
      <c r="L189" s="4"/>
      <c r="M189" s="4"/>
      <c r="N189" s="5"/>
      <c r="O189" s="10"/>
    </row>
    <row r="190" ht="15.75" customHeight="1">
      <c r="A190" s="1"/>
      <c r="B190" s="40"/>
      <c r="C190" s="1"/>
      <c r="D190" s="1"/>
      <c r="E190" s="1"/>
      <c r="F190" s="2"/>
      <c r="G190" s="3"/>
      <c r="H190" s="3"/>
      <c r="I190" s="4"/>
      <c r="J190" s="4"/>
      <c r="K190" s="4"/>
      <c r="L190" s="4"/>
      <c r="M190" s="4"/>
      <c r="N190" s="5"/>
      <c r="O190" s="10"/>
    </row>
    <row r="191" ht="15.75" customHeight="1">
      <c r="A191" s="1"/>
      <c r="B191" s="40"/>
      <c r="C191" s="1"/>
      <c r="D191" s="1"/>
      <c r="E191" s="1"/>
      <c r="F191" s="2"/>
      <c r="G191" s="3"/>
      <c r="H191" s="3"/>
      <c r="I191" s="4"/>
      <c r="J191" s="4"/>
      <c r="K191" s="4"/>
      <c r="L191" s="4"/>
      <c r="M191" s="4"/>
      <c r="N191" s="5"/>
      <c r="O191" s="10"/>
    </row>
    <row r="192" ht="15.75" customHeight="1">
      <c r="A192" s="1"/>
      <c r="B192" s="40"/>
      <c r="C192" s="1"/>
      <c r="D192" s="1"/>
      <c r="E192" s="1"/>
      <c r="F192" s="2"/>
      <c r="G192" s="3"/>
      <c r="H192" s="3"/>
      <c r="I192" s="4"/>
      <c r="J192" s="4"/>
      <c r="K192" s="4"/>
      <c r="L192" s="4"/>
      <c r="M192" s="4"/>
      <c r="N192" s="5"/>
      <c r="O192" s="10"/>
    </row>
    <row r="193" ht="15.75" customHeight="1">
      <c r="A193" s="1"/>
      <c r="B193" s="40"/>
      <c r="C193" s="1"/>
      <c r="D193" s="1"/>
      <c r="E193" s="1"/>
      <c r="F193" s="2"/>
      <c r="G193" s="3"/>
      <c r="H193" s="3"/>
      <c r="I193" s="4"/>
      <c r="J193" s="4"/>
      <c r="K193" s="4"/>
      <c r="L193" s="4"/>
      <c r="M193" s="4"/>
      <c r="N193" s="5"/>
      <c r="O193" s="10"/>
    </row>
    <row r="194" ht="15.75" customHeight="1">
      <c r="A194" s="1"/>
      <c r="B194" s="40"/>
      <c r="C194" s="1"/>
      <c r="D194" s="1"/>
      <c r="E194" s="1"/>
      <c r="F194" s="2"/>
      <c r="G194" s="3"/>
      <c r="H194" s="3"/>
      <c r="I194" s="4"/>
      <c r="J194" s="4"/>
      <c r="K194" s="4"/>
      <c r="L194" s="4"/>
      <c r="M194" s="4"/>
      <c r="N194" s="5"/>
      <c r="O194" s="10"/>
    </row>
    <row r="195" ht="15.75" customHeight="1">
      <c r="A195" s="1"/>
      <c r="B195" s="40"/>
      <c r="C195" s="1"/>
      <c r="D195" s="1"/>
      <c r="E195" s="1"/>
      <c r="F195" s="2"/>
      <c r="G195" s="3"/>
      <c r="H195" s="3"/>
      <c r="I195" s="4"/>
      <c r="J195" s="4"/>
      <c r="K195" s="4"/>
      <c r="L195" s="4"/>
      <c r="M195" s="4"/>
      <c r="N195" s="5"/>
      <c r="O195" s="10"/>
    </row>
    <row r="196" ht="15.75" customHeight="1">
      <c r="A196" s="1"/>
      <c r="B196" s="40"/>
      <c r="C196" s="1"/>
      <c r="D196" s="1"/>
      <c r="E196" s="1"/>
      <c r="F196" s="2"/>
      <c r="G196" s="3"/>
      <c r="H196" s="3"/>
      <c r="I196" s="4"/>
      <c r="J196" s="4"/>
      <c r="K196" s="4"/>
      <c r="L196" s="4"/>
      <c r="M196" s="4"/>
      <c r="N196" s="5"/>
      <c r="O196" s="10"/>
    </row>
    <row r="197" ht="15.75" customHeight="1">
      <c r="A197" s="1"/>
      <c r="B197" s="40"/>
      <c r="C197" s="1"/>
      <c r="D197" s="1"/>
      <c r="E197" s="1"/>
      <c r="F197" s="2"/>
      <c r="G197" s="3"/>
      <c r="H197" s="3"/>
      <c r="I197" s="4"/>
      <c r="J197" s="4"/>
      <c r="K197" s="4"/>
      <c r="L197" s="4"/>
      <c r="M197" s="4"/>
      <c r="N197" s="5"/>
      <c r="O197" s="10"/>
    </row>
    <row r="198" ht="15.75" customHeight="1">
      <c r="A198" s="1"/>
      <c r="B198" s="1"/>
      <c r="C198" s="1"/>
      <c r="D198" s="1"/>
      <c r="E198" s="1"/>
      <c r="F198" s="2"/>
      <c r="G198" s="3"/>
      <c r="H198" s="3"/>
      <c r="I198" s="4"/>
      <c r="J198" s="4"/>
      <c r="K198" s="4"/>
      <c r="L198" s="4"/>
      <c r="M198" s="4"/>
      <c r="N198" s="5"/>
      <c r="O198" s="10"/>
    </row>
    <row r="199" ht="15.75" customHeight="1">
      <c r="A199" s="1"/>
      <c r="B199" s="1"/>
      <c r="C199" s="1"/>
      <c r="D199" s="1"/>
      <c r="E199" s="1"/>
      <c r="F199" s="2"/>
      <c r="G199" s="3"/>
      <c r="H199" s="3"/>
      <c r="I199" s="4"/>
      <c r="J199" s="4"/>
      <c r="K199" s="4"/>
      <c r="L199" s="4"/>
      <c r="M199" s="4"/>
      <c r="N199" s="5"/>
      <c r="O199" s="10"/>
    </row>
    <row r="200" ht="15.75" customHeight="1">
      <c r="A200" s="1"/>
      <c r="B200" s="1"/>
      <c r="C200" s="1"/>
      <c r="D200" s="1"/>
      <c r="E200" s="1"/>
      <c r="F200" s="2"/>
      <c r="G200" s="3"/>
      <c r="H200" s="3"/>
      <c r="I200" s="4"/>
      <c r="J200" s="4"/>
      <c r="K200" s="4"/>
      <c r="L200" s="4"/>
      <c r="M200" s="4"/>
      <c r="N200" s="5"/>
      <c r="O200" s="10"/>
    </row>
    <row r="201" ht="15.75" customHeight="1">
      <c r="A201" s="1"/>
      <c r="B201" s="1"/>
      <c r="C201" s="1"/>
      <c r="D201" s="1"/>
      <c r="E201" s="1"/>
      <c r="F201" s="2"/>
      <c r="G201" s="3"/>
      <c r="H201" s="3"/>
      <c r="I201" s="4"/>
      <c r="J201" s="4"/>
      <c r="K201" s="4"/>
      <c r="L201" s="4"/>
      <c r="M201" s="4"/>
      <c r="N201" s="5"/>
      <c r="O201" s="10"/>
    </row>
    <row r="202" ht="15.75" customHeight="1">
      <c r="A202" s="1"/>
      <c r="B202" s="1"/>
      <c r="C202" s="1"/>
      <c r="D202" s="1"/>
      <c r="E202" s="1"/>
      <c r="F202" s="2"/>
      <c r="G202" s="3"/>
      <c r="H202" s="3"/>
      <c r="I202" s="4"/>
      <c r="J202" s="4"/>
      <c r="K202" s="4"/>
      <c r="L202" s="4"/>
      <c r="M202" s="4"/>
      <c r="N202" s="5"/>
      <c r="O202" s="10"/>
    </row>
    <row r="203" ht="15.75" customHeight="1">
      <c r="A203" s="1"/>
      <c r="B203" s="1"/>
      <c r="C203" s="1"/>
      <c r="D203" s="1"/>
      <c r="E203" s="1"/>
      <c r="F203" s="2"/>
      <c r="G203" s="3"/>
      <c r="H203" s="3"/>
      <c r="I203" s="4"/>
      <c r="J203" s="4"/>
      <c r="K203" s="4"/>
      <c r="L203" s="4"/>
      <c r="M203" s="4"/>
      <c r="N203" s="5"/>
      <c r="O203" s="10"/>
    </row>
    <row r="204" ht="15.75" customHeight="1">
      <c r="A204" s="1"/>
      <c r="B204" s="1"/>
      <c r="C204" s="1"/>
      <c r="D204" s="1"/>
      <c r="E204" s="1"/>
      <c r="F204" s="2"/>
      <c r="G204" s="3"/>
      <c r="H204" s="3"/>
      <c r="I204" s="4"/>
      <c r="J204" s="4"/>
      <c r="K204" s="4"/>
      <c r="L204" s="4"/>
      <c r="M204" s="4"/>
      <c r="N204" s="5"/>
      <c r="O204" s="10"/>
    </row>
    <row r="205" ht="15.75" customHeight="1">
      <c r="A205" s="1"/>
      <c r="B205" s="1"/>
      <c r="C205" s="1"/>
      <c r="D205" s="1"/>
      <c r="E205" s="1"/>
      <c r="F205" s="2"/>
      <c r="G205" s="3"/>
      <c r="H205" s="3"/>
      <c r="I205" s="4"/>
      <c r="J205" s="4"/>
      <c r="K205" s="4"/>
      <c r="L205" s="4"/>
      <c r="M205" s="4"/>
      <c r="N205" s="5"/>
      <c r="O205" s="10"/>
    </row>
    <row r="206" ht="15.75" customHeight="1">
      <c r="A206" s="1"/>
      <c r="B206" s="1"/>
      <c r="C206" s="1"/>
      <c r="D206" s="1"/>
      <c r="E206" s="1"/>
      <c r="F206" s="2"/>
      <c r="G206" s="3"/>
      <c r="H206" s="3"/>
      <c r="I206" s="4"/>
      <c r="J206" s="4"/>
      <c r="K206" s="4"/>
      <c r="L206" s="4"/>
      <c r="M206" s="4"/>
      <c r="N206" s="5"/>
      <c r="O206" s="10"/>
    </row>
    <row r="207" ht="15.75" customHeight="1">
      <c r="A207" s="1"/>
      <c r="B207" s="1"/>
      <c r="C207" s="1"/>
      <c r="D207" s="1"/>
      <c r="E207" s="1"/>
      <c r="F207" s="2"/>
      <c r="G207" s="3"/>
      <c r="H207" s="3"/>
      <c r="I207" s="4"/>
      <c r="J207" s="4"/>
      <c r="K207" s="4"/>
      <c r="L207" s="4"/>
      <c r="M207" s="4"/>
      <c r="N207" s="5"/>
      <c r="O207" s="10"/>
    </row>
    <row r="208" ht="15.75" customHeight="1">
      <c r="A208" s="1"/>
      <c r="B208" s="1"/>
      <c r="C208" s="1"/>
      <c r="D208" s="1"/>
      <c r="E208" s="1"/>
      <c r="F208" s="2"/>
      <c r="G208" s="3"/>
      <c r="H208" s="3"/>
      <c r="I208" s="4"/>
      <c r="J208" s="4"/>
      <c r="K208" s="4"/>
      <c r="L208" s="4"/>
      <c r="M208" s="4"/>
      <c r="N208" s="5"/>
      <c r="O208" s="10"/>
    </row>
    <row r="209" ht="15.75" customHeight="1">
      <c r="A209" s="1"/>
      <c r="B209" s="1"/>
      <c r="C209" s="1"/>
      <c r="D209" s="1"/>
      <c r="E209" s="1"/>
      <c r="F209" s="2"/>
      <c r="G209" s="3"/>
      <c r="H209" s="3"/>
      <c r="I209" s="4"/>
      <c r="J209" s="4"/>
      <c r="K209" s="4"/>
      <c r="L209" s="4"/>
      <c r="M209" s="4"/>
      <c r="N209" s="5"/>
      <c r="O209" s="10"/>
    </row>
    <row r="210" ht="15.75" customHeight="1">
      <c r="A210" s="1"/>
      <c r="B210" s="1"/>
      <c r="C210" s="1"/>
      <c r="D210" s="1"/>
      <c r="E210" s="1"/>
      <c r="F210" s="2"/>
      <c r="G210" s="3"/>
      <c r="H210" s="3"/>
      <c r="I210" s="4"/>
      <c r="J210" s="4"/>
      <c r="K210" s="4"/>
      <c r="L210" s="4"/>
      <c r="M210" s="4"/>
      <c r="N210" s="5"/>
      <c r="O210" s="10"/>
    </row>
    <row r="211" ht="15.75" customHeight="1">
      <c r="A211" s="1"/>
      <c r="B211" s="1"/>
      <c r="C211" s="1"/>
      <c r="D211" s="1"/>
      <c r="E211" s="1"/>
      <c r="F211" s="2"/>
      <c r="G211" s="3"/>
      <c r="H211" s="3"/>
      <c r="I211" s="4"/>
      <c r="J211" s="4"/>
      <c r="K211" s="4"/>
      <c r="L211" s="4"/>
      <c r="M211" s="4"/>
      <c r="N211" s="5"/>
      <c r="O211" s="10"/>
    </row>
    <row r="212" ht="15.75" customHeight="1">
      <c r="A212" s="1"/>
      <c r="B212" s="1"/>
      <c r="C212" s="1"/>
      <c r="D212" s="1"/>
      <c r="E212" s="1"/>
      <c r="F212" s="2"/>
      <c r="G212" s="3"/>
      <c r="H212" s="3"/>
      <c r="I212" s="4"/>
      <c r="J212" s="4"/>
      <c r="K212" s="4"/>
      <c r="L212" s="4"/>
      <c r="M212" s="4"/>
      <c r="N212" s="5"/>
      <c r="O212" s="10"/>
    </row>
    <row r="213" ht="15.75" customHeight="1">
      <c r="A213" s="1"/>
      <c r="B213" s="1"/>
      <c r="C213" s="1"/>
      <c r="D213" s="1"/>
      <c r="E213" s="1"/>
      <c r="F213" s="2"/>
      <c r="G213" s="3"/>
      <c r="H213" s="3"/>
      <c r="I213" s="4"/>
      <c r="J213" s="4"/>
      <c r="K213" s="4"/>
      <c r="L213" s="4"/>
      <c r="M213" s="4"/>
      <c r="N213" s="5"/>
      <c r="O213" s="10"/>
    </row>
    <row r="214" ht="15.75" customHeight="1">
      <c r="A214" s="1"/>
      <c r="B214" s="1"/>
      <c r="C214" s="1"/>
      <c r="D214" s="1"/>
      <c r="E214" s="1"/>
      <c r="F214" s="2"/>
      <c r="G214" s="3"/>
      <c r="H214" s="3"/>
      <c r="I214" s="4"/>
      <c r="J214" s="4"/>
      <c r="K214" s="4"/>
      <c r="L214" s="4"/>
      <c r="M214" s="4"/>
      <c r="N214" s="5"/>
      <c r="O214" s="10"/>
    </row>
    <row r="215" ht="15.75" customHeight="1">
      <c r="A215" s="1"/>
      <c r="B215" s="1"/>
      <c r="C215" s="1"/>
      <c r="D215" s="1"/>
      <c r="E215" s="1"/>
      <c r="F215" s="2"/>
      <c r="G215" s="3"/>
      <c r="H215" s="3"/>
      <c r="I215" s="4"/>
      <c r="J215" s="4"/>
      <c r="K215" s="4"/>
      <c r="L215" s="4"/>
      <c r="M215" s="4"/>
      <c r="N215" s="5"/>
      <c r="O215" s="10"/>
    </row>
    <row r="216" ht="15.75" customHeight="1">
      <c r="A216" s="1"/>
      <c r="B216" s="1"/>
      <c r="C216" s="1"/>
      <c r="D216" s="1"/>
      <c r="E216" s="1"/>
      <c r="F216" s="2"/>
      <c r="G216" s="3"/>
      <c r="H216" s="3"/>
      <c r="I216" s="4"/>
      <c r="J216" s="4"/>
      <c r="K216" s="4"/>
      <c r="L216" s="4"/>
      <c r="M216" s="4"/>
      <c r="N216" s="5"/>
      <c r="O216" s="10"/>
    </row>
    <row r="217" ht="15.75" customHeight="1">
      <c r="A217" s="1"/>
      <c r="B217" s="1"/>
      <c r="C217" s="1"/>
      <c r="D217" s="1"/>
      <c r="E217" s="1"/>
      <c r="F217" s="2"/>
      <c r="G217" s="3"/>
      <c r="H217" s="3"/>
      <c r="I217" s="4"/>
      <c r="J217" s="4"/>
      <c r="K217" s="4"/>
      <c r="L217" s="4"/>
      <c r="M217" s="4"/>
      <c r="N217" s="5"/>
      <c r="O217" s="10"/>
    </row>
    <row r="218" ht="15.75" customHeight="1">
      <c r="A218" s="1"/>
      <c r="B218" s="1"/>
      <c r="C218" s="1"/>
      <c r="D218" s="1"/>
      <c r="E218" s="1"/>
      <c r="F218" s="2"/>
      <c r="G218" s="3"/>
      <c r="H218" s="3"/>
      <c r="I218" s="4"/>
      <c r="J218" s="4"/>
      <c r="K218" s="4"/>
      <c r="L218" s="4"/>
      <c r="M218" s="4"/>
      <c r="N218" s="5"/>
      <c r="O218" s="10"/>
    </row>
    <row r="219" ht="15.75" customHeight="1">
      <c r="A219" s="1"/>
      <c r="B219" s="1"/>
      <c r="C219" s="1"/>
      <c r="D219" s="1"/>
      <c r="E219" s="1"/>
      <c r="F219" s="2"/>
      <c r="G219" s="3"/>
      <c r="H219" s="3"/>
      <c r="I219" s="4"/>
      <c r="J219" s="4"/>
      <c r="K219" s="4"/>
      <c r="L219" s="4"/>
      <c r="M219" s="4"/>
      <c r="N219" s="5"/>
      <c r="O219" s="10"/>
    </row>
    <row r="220" ht="15.75" customHeight="1">
      <c r="A220" s="1"/>
      <c r="B220" s="1"/>
      <c r="C220" s="1"/>
      <c r="D220" s="1"/>
      <c r="E220" s="1"/>
      <c r="F220" s="2"/>
      <c r="G220" s="3"/>
      <c r="H220" s="3"/>
      <c r="I220" s="4"/>
      <c r="J220" s="4"/>
      <c r="K220" s="4"/>
      <c r="L220" s="4"/>
      <c r="M220" s="4"/>
      <c r="N220" s="5"/>
      <c r="O220" s="10"/>
    </row>
    <row r="221" ht="15.75" customHeight="1">
      <c r="A221" s="1"/>
      <c r="B221" s="1"/>
      <c r="C221" s="1"/>
      <c r="D221" s="1"/>
      <c r="E221" s="1"/>
      <c r="F221" s="2"/>
      <c r="G221" s="3"/>
      <c r="H221" s="3"/>
      <c r="I221" s="4"/>
      <c r="J221" s="4"/>
      <c r="K221" s="4"/>
      <c r="L221" s="4"/>
      <c r="M221" s="4"/>
      <c r="N221" s="5"/>
      <c r="O221" s="10"/>
    </row>
    <row r="222" ht="15.75" customHeight="1">
      <c r="A222" s="1"/>
      <c r="B222" s="1"/>
      <c r="C222" s="1"/>
      <c r="D222" s="1"/>
      <c r="E222" s="1"/>
      <c r="F222" s="2"/>
      <c r="G222" s="3"/>
      <c r="H222" s="3"/>
      <c r="I222" s="4"/>
      <c r="J222" s="4"/>
      <c r="K222" s="4"/>
      <c r="L222" s="4"/>
      <c r="M222" s="4"/>
      <c r="N222" s="5"/>
      <c r="O222" s="10"/>
    </row>
    <row r="223" ht="15.75" customHeight="1">
      <c r="A223" s="1"/>
      <c r="B223" s="1"/>
      <c r="C223" s="1"/>
      <c r="D223" s="1"/>
      <c r="E223" s="1"/>
      <c r="F223" s="2"/>
      <c r="G223" s="3"/>
      <c r="H223" s="3"/>
      <c r="I223" s="4"/>
      <c r="J223" s="4"/>
      <c r="K223" s="4"/>
      <c r="L223" s="4"/>
      <c r="M223" s="4"/>
      <c r="N223" s="5"/>
      <c r="O223" s="10"/>
    </row>
    <row r="224" ht="15.75" customHeight="1">
      <c r="A224" s="1"/>
      <c r="B224" s="1"/>
      <c r="C224" s="1"/>
      <c r="D224" s="1"/>
      <c r="E224" s="1"/>
      <c r="F224" s="2"/>
      <c r="G224" s="3"/>
      <c r="H224" s="3"/>
      <c r="I224" s="4"/>
      <c r="J224" s="4"/>
      <c r="K224" s="4"/>
      <c r="L224" s="4"/>
      <c r="M224" s="4"/>
      <c r="N224" s="5"/>
      <c r="O224" s="10"/>
    </row>
    <row r="225" ht="15.75" customHeight="1">
      <c r="A225" s="1"/>
      <c r="B225" s="1"/>
      <c r="C225" s="1"/>
      <c r="D225" s="1"/>
      <c r="E225" s="1"/>
      <c r="F225" s="2"/>
      <c r="G225" s="3"/>
      <c r="H225" s="3"/>
      <c r="I225" s="4"/>
      <c r="J225" s="4"/>
      <c r="K225" s="4"/>
      <c r="L225" s="4"/>
      <c r="M225" s="4"/>
      <c r="N225" s="5"/>
      <c r="O225" s="10"/>
    </row>
    <row r="226" ht="15.75" customHeight="1">
      <c r="A226" s="1"/>
      <c r="B226" s="1"/>
      <c r="C226" s="1"/>
      <c r="D226" s="1"/>
      <c r="E226" s="1"/>
      <c r="F226" s="2"/>
      <c r="G226" s="3"/>
      <c r="H226" s="3"/>
      <c r="I226" s="4"/>
      <c r="J226" s="4"/>
      <c r="K226" s="4"/>
      <c r="L226" s="4"/>
      <c r="M226" s="4"/>
      <c r="N226" s="5"/>
      <c r="O226" s="10"/>
    </row>
    <row r="227" ht="15.75" customHeight="1">
      <c r="A227" s="1"/>
      <c r="B227" s="1"/>
      <c r="C227" s="1"/>
      <c r="D227" s="1"/>
      <c r="E227" s="1"/>
      <c r="F227" s="2"/>
      <c r="G227" s="3"/>
      <c r="H227" s="3"/>
      <c r="I227" s="4"/>
      <c r="J227" s="4"/>
      <c r="K227" s="4"/>
      <c r="L227" s="4"/>
      <c r="M227" s="4"/>
      <c r="N227" s="5"/>
      <c r="O227" s="10"/>
    </row>
    <row r="228" ht="15.75" customHeight="1">
      <c r="A228" s="1"/>
      <c r="B228" s="1"/>
      <c r="C228" s="1"/>
      <c r="D228" s="1"/>
      <c r="E228" s="1"/>
      <c r="F228" s="2"/>
      <c r="G228" s="3"/>
      <c r="H228" s="3"/>
      <c r="I228" s="4"/>
      <c r="J228" s="4"/>
      <c r="K228" s="4"/>
      <c r="L228" s="4"/>
      <c r="M228" s="4"/>
      <c r="N228" s="5"/>
      <c r="O228" s="10"/>
    </row>
    <row r="229" ht="15.75" customHeight="1">
      <c r="A229" s="1"/>
      <c r="B229" s="1"/>
      <c r="C229" s="1"/>
      <c r="D229" s="1"/>
      <c r="E229" s="1"/>
      <c r="F229" s="2"/>
      <c r="G229" s="3"/>
      <c r="H229" s="3"/>
      <c r="I229" s="4"/>
      <c r="J229" s="4"/>
      <c r="K229" s="4"/>
      <c r="L229" s="4"/>
      <c r="M229" s="4"/>
      <c r="N229" s="5"/>
      <c r="O229" s="10"/>
    </row>
    <row r="230" ht="15.75" customHeight="1">
      <c r="A230" s="1"/>
      <c r="B230" s="1"/>
      <c r="C230" s="1"/>
      <c r="D230" s="1"/>
      <c r="E230" s="1"/>
      <c r="F230" s="2"/>
      <c r="G230" s="3"/>
      <c r="H230" s="3"/>
      <c r="I230" s="4"/>
      <c r="J230" s="4"/>
      <c r="K230" s="4"/>
      <c r="L230" s="4"/>
      <c r="M230" s="4"/>
      <c r="N230" s="5"/>
      <c r="O230" s="10"/>
    </row>
    <row r="231" ht="15.75" customHeight="1">
      <c r="A231" s="1"/>
      <c r="B231" s="1"/>
      <c r="C231" s="1"/>
      <c r="D231" s="1"/>
      <c r="E231" s="1"/>
      <c r="F231" s="2"/>
      <c r="G231" s="3"/>
      <c r="H231" s="3"/>
      <c r="I231" s="4"/>
      <c r="J231" s="4"/>
      <c r="K231" s="4"/>
      <c r="L231" s="4"/>
      <c r="M231" s="4"/>
      <c r="N231" s="5"/>
      <c r="O231" s="10"/>
    </row>
    <row r="232" ht="15.75" customHeight="1">
      <c r="A232" s="1"/>
      <c r="B232" s="1"/>
      <c r="C232" s="1"/>
      <c r="D232" s="1"/>
      <c r="E232" s="1"/>
      <c r="F232" s="2"/>
      <c r="G232" s="3"/>
      <c r="H232" s="3"/>
      <c r="I232" s="4"/>
      <c r="J232" s="4"/>
      <c r="K232" s="4"/>
      <c r="L232" s="4"/>
      <c r="M232" s="4"/>
      <c r="N232" s="5"/>
      <c r="O232" s="10"/>
    </row>
    <row r="233" ht="15.75" customHeight="1">
      <c r="A233" s="1"/>
      <c r="B233" s="1"/>
      <c r="C233" s="1"/>
      <c r="D233" s="1"/>
      <c r="E233" s="1"/>
      <c r="F233" s="2"/>
      <c r="G233" s="3"/>
      <c r="H233" s="3"/>
      <c r="I233" s="4"/>
      <c r="J233" s="4"/>
      <c r="K233" s="4"/>
      <c r="L233" s="4"/>
      <c r="M233" s="4"/>
      <c r="N233" s="5"/>
      <c r="O233" s="10"/>
    </row>
    <row r="234" ht="15.75" customHeight="1">
      <c r="A234" s="1"/>
      <c r="B234" s="1"/>
      <c r="C234" s="1"/>
      <c r="D234" s="1"/>
      <c r="E234" s="1"/>
      <c r="F234" s="2"/>
      <c r="G234" s="3"/>
      <c r="H234" s="3"/>
      <c r="I234" s="4"/>
      <c r="J234" s="4"/>
      <c r="K234" s="4"/>
      <c r="L234" s="4"/>
      <c r="M234" s="4"/>
      <c r="N234" s="5"/>
      <c r="O234" s="10"/>
    </row>
    <row r="235" ht="15.75" customHeight="1">
      <c r="A235" s="1"/>
      <c r="B235" s="1"/>
      <c r="C235" s="1"/>
      <c r="D235" s="1"/>
      <c r="E235" s="1"/>
      <c r="F235" s="2"/>
      <c r="G235" s="3"/>
      <c r="H235" s="3"/>
      <c r="I235" s="4"/>
      <c r="J235" s="4"/>
      <c r="K235" s="4"/>
      <c r="L235" s="4"/>
      <c r="M235" s="4"/>
      <c r="N235" s="5"/>
      <c r="O235" s="10"/>
    </row>
    <row r="236" ht="15.75" customHeight="1">
      <c r="A236" s="1"/>
      <c r="B236" s="1"/>
      <c r="C236" s="1"/>
      <c r="D236" s="1"/>
      <c r="E236" s="1"/>
      <c r="F236" s="2"/>
      <c r="G236" s="3"/>
      <c r="H236" s="3"/>
      <c r="I236" s="4"/>
      <c r="J236" s="4"/>
      <c r="K236" s="4"/>
      <c r="L236" s="4"/>
      <c r="M236" s="4"/>
      <c r="N236" s="5"/>
      <c r="O236" s="10"/>
    </row>
    <row r="237" ht="15.75" customHeight="1">
      <c r="A237" s="1"/>
      <c r="B237" s="1"/>
      <c r="C237" s="1"/>
      <c r="D237" s="1"/>
      <c r="E237" s="1"/>
      <c r="F237" s="2"/>
      <c r="G237" s="3"/>
      <c r="H237" s="3"/>
      <c r="I237" s="4"/>
      <c r="J237" s="4"/>
      <c r="K237" s="4"/>
      <c r="L237" s="4"/>
      <c r="M237" s="4"/>
      <c r="N237" s="5"/>
      <c r="O237" s="10"/>
    </row>
    <row r="238" ht="15.75" customHeight="1">
      <c r="A238" s="1"/>
      <c r="B238" s="1"/>
      <c r="C238" s="1"/>
      <c r="D238" s="1"/>
      <c r="E238" s="1"/>
      <c r="F238" s="2"/>
      <c r="G238" s="3"/>
      <c r="H238" s="3"/>
      <c r="I238" s="4"/>
      <c r="J238" s="4"/>
      <c r="K238" s="4"/>
      <c r="L238" s="4"/>
      <c r="M238" s="4"/>
      <c r="N238" s="5"/>
      <c r="O238" s="10"/>
    </row>
    <row r="239" ht="15.75" customHeight="1">
      <c r="A239" s="1"/>
      <c r="B239" s="1"/>
      <c r="C239" s="1"/>
      <c r="D239" s="1"/>
      <c r="E239" s="1"/>
      <c r="F239" s="2"/>
      <c r="G239" s="3"/>
      <c r="H239" s="3"/>
      <c r="I239" s="4"/>
      <c r="J239" s="4"/>
      <c r="K239" s="4"/>
      <c r="L239" s="4"/>
      <c r="M239" s="4"/>
      <c r="N239" s="5"/>
      <c r="O239" s="10"/>
    </row>
    <row r="240" ht="15.75" customHeight="1">
      <c r="A240" s="1"/>
      <c r="B240" s="1"/>
      <c r="C240" s="1"/>
      <c r="D240" s="1"/>
      <c r="E240" s="1"/>
      <c r="F240" s="2"/>
      <c r="G240" s="3"/>
      <c r="H240" s="3"/>
      <c r="I240" s="4"/>
      <c r="J240" s="4"/>
      <c r="K240" s="4"/>
      <c r="L240" s="4"/>
      <c r="M240" s="4"/>
      <c r="N240" s="5"/>
      <c r="O240" s="10"/>
    </row>
    <row r="241" ht="15.75" customHeight="1">
      <c r="A241" s="1"/>
      <c r="B241" s="1"/>
      <c r="C241" s="1"/>
      <c r="D241" s="1"/>
      <c r="E241" s="1"/>
      <c r="F241" s="2"/>
      <c r="G241" s="3"/>
      <c r="H241" s="3"/>
      <c r="I241" s="4"/>
      <c r="J241" s="4"/>
      <c r="K241" s="4"/>
      <c r="L241" s="4"/>
      <c r="M241" s="4"/>
      <c r="N241" s="5"/>
      <c r="O241" s="10"/>
    </row>
    <row r="242" ht="15.75" customHeight="1">
      <c r="A242" s="1"/>
      <c r="B242" s="1"/>
      <c r="C242" s="1"/>
      <c r="D242" s="1"/>
      <c r="E242" s="1"/>
      <c r="F242" s="2"/>
      <c r="G242" s="3"/>
      <c r="H242" s="3"/>
      <c r="I242" s="4"/>
      <c r="J242" s="4"/>
      <c r="K242" s="4"/>
      <c r="L242" s="4"/>
      <c r="M242" s="4"/>
      <c r="N242" s="5"/>
      <c r="O242" s="10"/>
    </row>
    <row r="243" ht="15.75" customHeight="1">
      <c r="A243" s="1"/>
      <c r="B243" s="1"/>
      <c r="C243" s="1"/>
      <c r="D243" s="1"/>
      <c r="E243" s="1"/>
      <c r="F243" s="2"/>
      <c r="G243" s="3"/>
      <c r="H243" s="3"/>
      <c r="I243" s="4"/>
      <c r="J243" s="4"/>
      <c r="K243" s="4"/>
      <c r="L243" s="4"/>
      <c r="M243" s="4"/>
      <c r="N243" s="5"/>
      <c r="O243" s="10"/>
    </row>
    <row r="244" ht="15.75" customHeight="1">
      <c r="A244" s="1"/>
      <c r="B244" s="1"/>
      <c r="C244" s="1"/>
      <c r="D244" s="1"/>
      <c r="E244" s="1"/>
      <c r="F244" s="2"/>
      <c r="G244" s="3"/>
      <c r="H244" s="3"/>
      <c r="I244" s="4"/>
      <c r="J244" s="4"/>
      <c r="K244" s="4"/>
      <c r="L244" s="4"/>
      <c r="M244" s="4"/>
      <c r="N244" s="5"/>
      <c r="O244" s="10"/>
    </row>
    <row r="245" ht="15.75" customHeight="1">
      <c r="A245" s="1"/>
      <c r="B245" s="1"/>
      <c r="C245" s="1"/>
      <c r="D245" s="1"/>
      <c r="E245" s="1"/>
      <c r="F245" s="2"/>
      <c r="G245" s="3"/>
      <c r="H245" s="3"/>
      <c r="I245" s="4"/>
      <c r="J245" s="4"/>
      <c r="K245" s="4"/>
      <c r="L245" s="4"/>
      <c r="M245" s="4"/>
      <c r="N245" s="5"/>
      <c r="O245" s="10"/>
    </row>
    <row r="246" ht="15.75" customHeight="1">
      <c r="A246" s="1"/>
      <c r="B246" s="1"/>
      <c r="C246" s="1"/>
      <c r="D246" s="1"/>
      <c r="E246" s="1"/>
      <c r="F246" s="2"/>
      <c r="G246" s="3"/>
      <c r="H246" s="3"/>
      <c r="I246" s="4"/>
      <c r="J246" s="4"/>
      <c r="K246" s="4"/>
      <c r="L246" s="4"/>
      <c r="M246" s="4"/>
      <c r="N246" s="5"/>
      <c r="O246" s="10"/>
    </row>
    <row r="247" ht="15.75" customHeight="1">
      <c r="A247" s="1"/>
      <c r="B247" s="1"/>
      <c r="C247" s="1"/>
      <c r="D247" s="1"/>
      <c r="E247" s="1"/>
      <c r="F247" s="2"/>
      <c r="G247" s="3"/>
      <c r="H247" s="3"/>
      <c r="I247" s="4"/>
      <c r="J247" s="4"/>
      <c r="K247" s="4"/>
      <c r="L247" s="4"/>
      <c r="M247" s="4"/>
      <c r="N247" s="5"/>
      <c r="O247" s="10"/>
    </row>
    <row r="248" ht="15.75" customHeight="1">
      <c r="A248" s="1"/>
      <c r="B248" s="1"/>
      <c r="C248" s="1"/>
      <c r="D248" s="1"/>
      <c r="E248" s="1"/>
      <c r="F248" s="2"/>
      <c r="G248" s="3"/>
      <c r="H248" s="3"/>
      <c r="I248" s="4"/>
      <c r="J248" s="4"/>
      <c r="K248" s="4"/>
      <c r="L248" s="4"/>
      <c r="M248" s="4"/>
      <c r="N248" s="5"/>
      <c r="O248" s="10"/>
    </row>
    <row r="249" ht="15.75" customHeight="1">
      <c r="A249" s="1"/>
      <c r="B249" s="1"/>
      <c r="C249" s="1"/>
      <c r="D249" s="1"/>
      <c r="E249" s="1"/>
      <c r="F249" s="2"/>
      <c r="G249" s="3"/>
      <c r="H249" s="3"/>
      <c r="I249" s="4"/>
      <c r="J249" s="4"/>
      <c r="K249" s="4"/>
      <c r="L249" s="4"/>
      <c r="M249" s="4"/>
      <c r="N249" s="5"/>
      <c r="O249" s="10"/>
    </row>
    <row r="250" ht="15.75" customHeight="1">
      <c r="A250" s="1"/>
      <c r="B250" s="1"/>
      <c r="C250" s="1"/>
      <c r="D250" s="1"/>
      <c r="E250" s="1"/>
      <c r="F250" s="2"/>
      <c r="G250" s="3"/>
      <c r="H250" s="3"/>
      <c r="I250" s="4"/>
      <c r="J250" s="4"/>
      <c r="K250" s="4"/>
      <c r="L250" s="4"/>
      <c r="M250" s="4"/>
      <c r="N250" s="5"/>
      <c r="O250" s="10"/>
    </row>
    <row r="251" ht="15.75" customHeight="1">
      <c r="A251" s="1"/>
      <c r="B251" s="1"/>
      <c r="C251" s="1"/>
      <c r="D251" s="1"/>
      <c r="E251" s="1"/>
      <c r="F251" s="2"/>
      <c r="G251" s="3"/>
      <c r="H251" s="3"/>
      <c r="I251" s="4"/>
      <c r="J251" s="4"/>
      <c r="K251" s="4"/>
      <c r="L251" s="4"/>
      <c r="M251" s="4"/>
      <c r="N251" s="5"/>
      <c r="O251" s="10"/>
    </row>
    <row r="252" ht="15.75" customHeight="1">
      <c r="A252" s="1"/>
      <c r="B252" s="1"/>
      <c r="C252" s="1"/>
      <c r="D252" s="1"/>
      <c r="E252" s="1"/>
      <c r="F252" s="2"/>
      <c r="G252" s="3"/>
      <c r="H252" s="3"/>
      <c r="I252" s="4"/>
      <c r="J252" s="4"/>
      <c r="K252" s="4"/>
      <c r="L252" s="4"/>
      <c r="M252" s="4"/>
      <c r="N252" s="5"/>
      <c r="O252" s="10"/>
    </row>
    <row r="253" ht="15.75" customHeight="1">
      <c r="A253" s="1"/>
      <c r="B253" s="1"/>
      <c r="C253" s="1"/>
      <c r="D253" s="1"/>
      <c r="E253" s="1"/>
      <c r="F253" s="2"/>
      <c r="G253" s="3"/>
      <c r="H253" s="3"/>
      <c r="I253" s="4"/>
      <c r="J253" s="4"/>
      <c r="K253" s="4"/>
      <c r="L253" s="4"/>
      <c r="M253" s="4"/>
      <c r="N253" s="5"/>
      <c r="O253" s="10"/>
    </row>
    <row r="254" ht="15.75" customHeight="1">
      <c r="A254" s="1"/>
      <c r="B254" s="1"/>
      <c r="C254" s="1"/>
      <c r="D254" s="1"/>
      <c r="E254" s="1"/>
      <c r="F254" s="2"/>
      <c r="G254" s="3"/>
      <c r="H254" s="3"/>
      <c r="I254" s="4"/>
      <c r="J254" s="4"/>
      <c r="K254" s="4"/>
      <c r="L254" s="4"/>
      <c r="M254" s="4"/>
      <c r="N254" s="5"/>
      <c r="O254" s="10"/>
    </row>
    <row r="255" ht="15.75" customHeight="1">
      <c r="A255" s="1"/>
      <c r="B255" s="1"/>
      <c r="C255" s="1"/>
      <c r="D255" s="1"/>
      <c r="E255" s="1"/>
      <c r="F255" s="2"/>
      <c r="G255" s="3"/>
      <c r="H255" s="3"/>
      <c r="I255" s="4"/>
      <c r="J255" s="4"/>
      <c r="K255" s="4"/>
      <c r="L255" s="4"/>
      <c r="M255" s="4"/>
      <c r="N255" s="5"/>
      <c r="O255" s="10"/>
    </row>
    <row r="256" ht="15.75" customHeight="1">
      <c r="A256" s="1"/>
      <c r="B256" s="1"/>
      <c r="C256" s="1"/>
      <c r="D256" s="1"/>
      <c r="E256" s="1"/>
      <c r="F256" s="2"/>
      <c r="G256" s="3"/>
      <c r="H256" s="3"/>
      <c r="I256" s="4"/>
      <c r="J256" s="4"/>
      <c r="K256" s="4"/>
      <c r="L256" s="4"/>
      <c r="M256" s="4"/>
      <c r="N256" s="5"/>
      <c r="O256" s="10"/>
    </row>
    <row r="257" ht="15.75" customHeight="1">
      <c r="A257" s="1"/>
      <c r="B257" s="1"/>
      <c r="C257" s="1"/>
      <c r="D257" s="1"/>
      <c r="E257" s="1"/>
      <c r="F257" s="2"/>
      <c r="G257" s="3"/>
      <c r="H257" s="3"/>
      <c r="I257" s="4"/>
      <c r="J257" s="4"/>
      <c r="K257" s="4"/>
      <c r="L257" s="4"/>
      <c r="M257" s="4"/>
      <c r="N257" s="5"/>
      <c r="O257" s="10"/>
    </row>
    <row r="258" ht="15.75" customHeight="1">
      <c r="A258" s="1"/>
      <c r="B258" s="1"/>
      <c r="C258" s="1"/>
      <c r="D258" s="1"/>
      <c r="E258" s="1"/>
      <c r="F258" s="2"/>
      <c r="G258" s="3"/>
      <c r="H258" s="3"/>
      <c r="I258" s="4"/>
      <c r="J258" s="4"/>
      <c r="K258" s="4"/>
      <c r="L258" s="4"/>
      <c r="M258" s="4"/>
      <c r="N258" s="5"/>
      <c r="O258" s="10"/>
    </row>
    <row r="259" ht="15.75" customHeight="1">
      <c r="A259" s="1"/>
      <c r="B259" s="1"/>
      <c r="C259" s="1"/>
      <c r="D259" s="1"/>
      <c r="E259" s="1"/>
      <c r="F259" s="2"/>
      <c r="G259" s="3"/>
      <c r="H259" s="3"/>
      <c r="I259" s="4"/>
      <c r="J259" s="4"/>
      <c r="K259" s="4"/>
      <c r="L259" s="4"/>
      <c r="M259" s="4"/>
      <c r="N259" s="5"/>
      <c r="O259" s="10"/>
    </row>
    <row r="260" ht="15.75" customHeight="1">
      <c r="A260" s="1"/>
      <c r="B260" s="1"/>
      <c r="C260" s="1"/>
      <c r="D260" s="1"/>
      <c r="E260" s="1"/>
      <c r="F260" s="2"/>
      <c r="G260" s="3"/>
      <c r="H260" s="3"/>
      <c r="I260" s="4"/>
      <c r="J260" s="4"/>
      <c r="K260" s="4"/>
      <c r="L260" s="4"/>
      <c r="M260" s="4"/>
      <c r="N260" s="5"/>
      <c r="O260" s="10"/>
    </row>
    <row r="261" ht="15.75" customHeight="1">
      <c r="A261" s="1"/>
      <c r="B261" s="1"/>
      <c r="C261" s="1"/>
      <c r="D261" s="1"/>
      <c r="E261" s="1"/>
      <c r="F261" s="2"/>
      <c r="G261" s="3"/>
      <c r="H261" s="3"/>
      <c r="I261" s="4"/>
      <c r="J261" s="4"/>
      <c r="K261" s="4"/>
      <c r="L261" s="4"/>
      <c r="M261" s="4"/>
      <c r="N261" s="5"/>
      <c r="O261" s="10"/>
    </row>
    <row r="262" ht="15.75" customHeight="1">
      <c r="A262" s="1"/>
      <c r="B262" s="1"/>
      <c r="C262" s="1"/>
      <c r="D262" s="1"/>
      <c r="E262" s="1"/>
      <c r="F262" s="2"/>
      <c r="G262" s="3"/>
      <c r="H262" s="3"/>
      <c r="I262" s="4"/>
      <c r="J262" s="4"/>
      <c r="K262" s="4"/>
      <c r="L262" s="4"/>
      <c r="M262" s="4"/>
      <c r="N262" s="5"/>
      <c r="O262" s="10"/>
    </row>
    <row r="263" ht="15.75" customHeight="1">
      <c r="A263" s="1"/>
      <c r="B263" s="1"/>
      <c r="C263" s="1"/>
      <c r="D263" s="1"/>
      <c r="E263" s="1"/>
      <c r="F263" s="2"/>
      <c r="G263" s="3"/>
      <c r="H263" s="3"/>
      <c r="I263" s="4"/>
      <c r="J263" s="4"/>
      <c r="K263" s="4"/>
      <c r="L263" s="4"/>
      <c r="M263" s="4"/>
      <c r="N263" s="5"/>
      <c r="O263" s="10"/>
    </row>
    <row r="264" ht="15.75" customHeight="1">
      <c r="A264" s="1"/>
      <c r="B264" s="1"/>
      <c r="C264" s="1"/>
      <c r="D264" s="1"/>
      <c r="E264" s="1"/>
      <c r="F264" s="2"/>
      <c r="G264" s="3"/>
      <c r="H264" s="3"/>
      <c r="I264" s="4"/>
      <c r="J264" s="4"/>
      <c r="K264" s="4"/>
      <c r="L264" s="4"/>
      <c r="M264" s="4"/>
      <c r="N264" s="5"/>
      <c r="O264" s="10"/>
    </row>
    <row r="265" ht="15.75" customHeight="1">
      <c r="A265" s="1"/>
      <c r="B265" s="1"/>
      <c r="C265" s="1"/>
      <c r="D265" s="1"/>
      <c r="E265" s="1"/>
      <c r="F265" s="2"/>
      <c r="G265" s="3"/>
      <c r="H265" s="3"/>
      <c r="I265" s="4"/>
      <c r="J265" s="4"/>
      <c r="K265" s="4"/>
      <c r="L265" s="4"/>
      <c r="M265" s="4"/>
      <c r="N265" s="5"/>
      <c r="O265" s="10"/>
    </row>
    <row r="266" ht="15.75" customHeight="1">
      <c r="A266" s="1"/>
      <c r="B266" s="1"/>
      <c r="C266" s="1"/>
      <c r="D266" s="1"/>
      <c r="E266" s="1"/>
      <c r="F266" s="2"/>
      <c r="G266" s="3"/>
      <c r="H266" s="3"/>
      <c r="I266" s="4"/>
      <c r="J266" s="4"/>
      <c r="K266" s="4"/>
      <c r="L266" s="4"/>
      <c r="M266" s="4"/>
      <c r="N266" s="5"/>
      <c r="O266" s="10"/>
    </row>
    <row r="267" ht="15.75" customHeight="1">
      <c r="A267" s="1"/>
      <c r="B267" s="1"/>
      <c r="C267" s="1"/>
      <c r="D267" s="1"/>
      <c r="E267" s="1"/>
      <c r="F267" s="2"/>
      <c r="G267" s="3"/>
      <c r="H267" s="3"/>
      <c r="I267" s="4"/>
      <c r="J267" s="4"/>
      <c r="K267" s="4"/>
      <c r="L267" s="4"/>
      <c r="M267" s="4"/>
      <c r="N267" s="5"/>
      <c r="O267" s="10"/>
    </row>
    <row r="268" ht="15.75" customHeight="1">
      <c r="A268" s="1"/>
      <c r="B268" s="1"/>
      <c r="C268" s="1"/>
      <c r="D268" s="1"/>
      <c r="E268" s="1"/>
      <c r="F268" s="2"/>
      <c r="G268" s="3"/>
      <c r="H268" s="3"/>
      <c r="I268" s="4"/>
      <c r="J268" s="4"/>
      <c r="K268" s="4"/>
      <c r="L268" s="4"/>
      <c r="M268" s="4"/>
      <c r="N268" s="5"/>
      <c r="O268" s="10"/>
    </row>
    <row r="269" ht="15.75" customHeight="1">
      <c r="A269" s="1"/>
      <c r="B269" s="1"/>
      <c r="C269" s="1"/>
      <c r="D269" s="1"/>
      <c r="E269" s="1"/>
      <c r="F269" s="2"/>
      <c r="G269" s="3"/>
      <c r="H269" s="3"/>
      <c r="I269" s="4"/>
      <c r="J269" s="4"/>
      <c r="K269" s="4"/>
      <c r="L269" s="4"/>
      <c r="M269" s="4"/>
      <c r="N269" s="5"/>
      <c r="O269" s="10"/>
    </row>
    <row r="270" ht="15.75" customHeight="1">
      <c r="A270" s="1"/>
      <c r="B270" s="1"/>
      <c r="C270" s="1"/>
      <c r="D270" s="1"/>
      <c r="E270" s="1"/>
      <c r="F270" s="2"/>
      <c r="G270" s="3"/>
      <c r="H270" s="3"/>
      <c r="I270" s="4"/>
      <c r="J270" s="4"/>
      <c r="K270" s="4"/>
      <c r="L270" s="4"/>
      <c r="M270" s="4"/>
      <c r="N270" s="5"/>
      <c r="O270" s="10"/>
    </row>
    <row r="271" ht="15.75" customHeight="1">
      <c r="A271" s="1"/>
      <c r="B271" s="1"/>
      <c r="C271" s="1"/>
      <c r="D271" s="1"/>
      <c r="E271" s="1"/>
      <c r="F271" s="2"/>
      <c r="G271" s="3"/>
      <c r="H271" s="3"/>
      <c r="I271" s="4"/>
      <c r="J271" s="4"/>
      <c r="K271" s="4"/>
      <c r="L271" s="4"/>
      <c r="M271" s="4"/>
      <c r="N271" s="5"/>
      <c r="O271" s="10"/>
    </row>
    <row r="272" ht="15.75" customHeight="1">
      <c r="A272" s="1"/>
      <c r="B272" s="1"/>
      <c r="C272" s="1"/>
      <c r="D272" s="1"/>
      <c r="E272" s="1"/>
      <c r="F272" s="2"/>
      <c r="G272" s="3"/>
      <c r="H272" s="3"/>
      <c r="I272" s="4"/>
      <c r="J272" s="4"/>
      <c r="K272" s="4"/>
      <c r="L272" s="4"/>
      <c r="M272" s="4"/>
      <c r="N272" s="5"/>
      <c r="O272" s="10"/>
    </row>
    <row r="273" ht="15.75" customHeight="1">
      <c r="A273" s="1"/>
      <c r="B273" s="1"/>
      <c r="C273" s="1"/>
      <c r="D273" s="1"/>
      <c r="E273" s="1"/>
      <c r="F273" s="2"/>
      <c r="G273" s="3"/>
      <c r="H273" s="3"/>
      <c r="I273" s="4"/>
      <c r="J273" s="4"/>
      <c r="K273" s="4"/>
      <c r="L273" s="4"/>
      <c r="M273" s="4"/>
      <c r="N273" s="5"/>
      <c r="O273" s="10"/>
    </row>
    <row r="274" ht="15.75" customHeight="1">
      <c r="A274" s="1"/>
      <c r="B274" s="1"/>
      <c r="C274" s="1"/>
      <c r="D274" s="1"/>
      <c r="E274" s="1"/>
      <c r="F274" s="2"/>
      <c r="G274" s="3"/>
      <c r="H274" s="3"/>
      <c r="I274" s="4"/>
      <c r="J274" s="4"/>
      <c r="K274" s="4"/>
      <c r="L274" s="4"/>
      <c r="M274" s="4"/>
      <c r="N274" s="5"/>
      <c r="O274" s="10"/>
    </row>
    <row r="275" ht="15.75" customHeight="1">
      <c r="A275" s="1"/>
      <c r="B275" s="1"/>
      <c r="C275" s="1"/>
      <c r="D275" s="1"/>
      <c r="E275" s="1"/>
      <c r="F275" s="2"/>
      <c r="G275" s="3"/>
      <c r="H275" s="3"/>
      <c r="I275" s="4"/>
      <c r="J275" s="4"/>
      <c r="K275" s="4"/>
      <c r="L275" s="4"/>
      <c r="M275" s="4"/>
      <c r="N275" s="5"/>
      <c r="O275" s="10"/>
    </row>
    <row r="276" ht="15.75" customHeight="1">
      <c r="A276" s="1"/>
      <c r="B276" s="1"/>
      <c r="C276" s="1"/>
      <c r="D276" s="1"/>
      <c r="E276" s="1"/>
      <c r="F276" s="2"/>
      <c r="G276" s="3"/>
      <c r="H276" s="3"/>
      <c r="I276" s="4"/>
      <c r="J276" s="4"/>
      <c r="K276" s="4"/>
      <c r="L276" s="4"/>
      <c r="M276" s="4"/>
      <c r="N276" s="5"/>
      <c r="O276" s="10"/>
    </row>
    <row r="277" ht="15.75" customHeight="1">
      <c r="A277" s="1"/>
      <c r="B277" s="1"/>
      <c r="C277" s="1"/>
      <c r="D277" s="1"/>
      <c r="E277" s="1"/>
      <c r="F277" s="2"/>
      <c r="G277" s="3"/>
      <c r="H277" s="3"/>
      <c r="I277" s="4"/>
      <c r="J277" s="4"/>
      <c r="K277" s="4"/>
      <c r="L277" s="4"/>
      <c r="M277" s="4"/>
      <c r="N277" s="5"/>
      <c r="O277" s="10"/>
    </row>
    <row r="278" ht="15.75" customHeight="1">
      <c r="A278" s="1"/>
      <c r="B278" s="1"/>
      <c r="C278" s="1"/>
      <c r="D278" s="1"/>
      <c r="E278" s="1"/>
      <c r="F278" s="2"/>
      <c r="G278" s="3"/>
      <c r="H278" s="3"/>
      <c r="I278" s="4"/>
      <c r="J278" s="4"/>
      <c r="K278" s="4"/>
      <c r="L278" s="4"/>
      <c r="M278" s="4"/>
      <c r="N278" s="5"/>
      <c r="O278" s="10"/>
    </row>
    <row r="279" ht="15.75" customHeight="1">
      <c r="A279" s="1"/>
      <c r="B279" s="1"/>
      <c r="C279" s="1"/>
      <c r="D279" s="1"/>
      <c r="E279" s="1"/>
      <c r="F279" s="2"/>
      <c r="G279" s="3"/>
      <c r="H279" s="3"/>
      <c r="I279" s="4"/>
      <c r="J279" s="4"/>
      <c r="K279" s="4"/>
      <c r="L279" s="4"/>
      <c r="M279" s="4"/>
      <c r="N279" s="5"/>
      <c r="O279" s="10"/>
    </row>
    <row r="280" ht="15.75" customHeight="1">
      <c r="A280" s="1"/>
      <c r="B280" s="1"/>
      <c r="C280" s="1"/>
      <c r="D280" s="1"/>
      <c r="E280" s="1"/>
      <c r="F280" s="2"/>
      <c r="G280" s="3"/>
      <c r="H280" s="3"/>
      <c r="I280" s="4"/>
      <c r="J280" s="4"/>
      <c r="K280" s="4"/>
      <c r="L280" s="4"/>
      <c r="M280" s="4"/>
      <c r="N280" s="5"/>
      <c r="O280" s="10"/>
    </row>
    <row r="281" ht="15.75" customHeight="1">
      <c r="A281" s="1"/>
      <c r="B281" s="1"/>
      <c r="C281" s="1"/>
      <c r="D281" s="1"/>
      <c r="E281" s="1"/>
      <c r="F281" s="2"/>
      <c r="G281" s="3"/>
      <c r="H281" s="3"/>
      <c r="I281" s="4"/>
      <c r="J281" s="4"/>
      <c r="K281" s="4"/>
      <c r="L281" s="4"/>
      <c r="M281" s="4"/>
      <c r="N281" s="5"/>
      <c r="O281" s="10"/>
    </row>
    <row r="282" ht="15.75" customHeight="1">
      <c r="A282" s="1"/>
      <c r="B282" s="1"/>
      <c r="C282" s="1"/>
      <c r="D282" s="1"/>
      <c r="E282" s="1"/>
      <c r="F282" s="2"/>
      <c r="G282" s="3"/>
      <c r="H282" s="3"/>
      <c r="I282" s="4"/>
      <c r="J282" s="4"/>
      <c r="K282" s="4"/>
      <c r="L282" s="4"/>
      <c r="M282" s="4"/>
      <c r="N282" s="5"/>
      <c r="O282" s="10"/>
    </row>
    <row r="283" ht="15.75" customHeight="1">
      <c r="A283" s="1"/>
      <c r="B283" s="1"/>
      <c r="C283" s="1"/>
      <c r="D283" s="1"/>
      <c r="E283" s="1"/>
      <c r="F283" s="2"/>
      <c r="G283" s="3"/>
      <c r="H283" s="3"/>
      <c r="I283" s="4"/>
      <c r="J283" s="4"/>
      <c r="K283" s="4"/>
      <c r="L283" s="4"/>
      <c r="M283" s="4"/>
      <c r="N283" s="5"/>
      <c r="O283" s="10"/>
    </row>
    <row r="284" ht="15.75" customHeight="1">
      <c r="A284" s="1"/>
      <c r="B284" s="1"/>
      <c r="C284" s="1"/>
      <c r="D284" s="1"/>
      <c r="E284" s="1"/>
      <c r="F284" s="2"/>
      <c r="G284" s="3"/>
      <c r="H284" s="3"/>
      <c r="I284" s="4"/>
      <c r="J284" s="4"/>
      <c r="K284" s="4"/>
      <c r="L284" s="4"/>
      <c r="M284" s="4"/>
      <c r="N284" s="5"/>
      <c r="O284" s="10"/>
    </row>
    <row r="285" ht="15.75" customHeight="1">
      <c r="A285" s="1"/>
      <c r="B285" s="1"/>
      <c r="C285" s="1"/>
      <c r="D285" s="1"/>
      <c r="E285" s="1"/>
      <c r="F285" s="2"/>
      <c r="G285" s="3"/>
      <c r="H285" s="3"/>
      <c r="I285" s="4"/>
      <c r="J285" s="4"/>
      <c r="K285" s="4"/>
      <c r="L285" s="4"/>
      <c r="M285" s="4"/>
      <c r="N285" s="5"/>
      <c r="O285" s="10"/>
    </row>
    <row r="286" ht="15.75" customHeight="1">
      <c r="A286" s="1"/>
      <c r="B286" s="1"/>
      <c r="C286" s="1"/>
      <c r="D286" s="1"/>
      <c r="E286" s="1"/>
      <c r="F286" s="2"/>
      <c r="G286" s="3"/>
      <c r="H286" s="3"/>
      <c r="I286" s="4"/>
      <c r="J286" s="4"/>
      <c r="K286" s="4"/>
      <c r="L286" s="4"/>
      <c r="M286" s="4"/>
      <c r="N286" s="5"/>
      <c r="O286" s="10"/>
    </row>
    <row r="287" ht="15.75" customHeight="1">
      <c r="A287" s="1"/>
      <c r="B287" s="1"/>
      <c r="C287" s="1"/>
      <c r="D287" s="1"/>
      <c r="E287" s="1"/>
      <c r="F287" s="2"/>
      <c r="G287" s="3"/>
      <c r="H287" s="3"/>
      <c r="I287" s="4"/>
      <c r="J287" s="4"/>
      <c r="K287" s="4"/>
      <c r="L287" s="4"/>
      <c r="M287" s="4"/>
      <c r="N287" s="5"/>
      <c r="O287" s="10"/>
    </row>
    <row r="288" ht="15.75" customHeight="1">
      <c r="A288" s="1"/>
      <c r="B288" s="1"/>
      <c r="C288" s="1"/>
      <c r="D288" s="1"/>
      <c r="E288" s="1"/>
      <c r="F288" s="2"/>
      <c r="G288" s="3"/>
      <c r="H288" s="3"/>
      <c r="I288" s="4"/>
      <c r="J288" s="4"/>
      <c r="K288" s="4"/>
      <c r="L288" s="4"/>
      <c r="M288" s="4"/>
      <c r="N288" s="5"/>
      <c r="O288" s="10"/>
    </row>
    <row r="289" ht="15.75" customHeight="1">
      <c r="A289" s="1"/>
      <c r="B289" s="1"/>
      <c r="C289" s="1"/>
      <c r="D289" s="1"/>
      <c r="E289" s="1"/>
      <c r="F289" s="2"/>
      <c r="G289" s="3"/>
      <c r="H289" s="3"/>
      <c r="I289" s="4"/>
      <c r="J289" s="4"/>
      <c r="K289" s="4"/>
      <c r="L289" s="4"/>
      <c r="M289" s="4"/>
      <c r="N289" s="5"/>
      <c r="O289" s="10"/>
    </row>
    <row r="290" ht="15.75" customHeight="1">
      <c r="A290" s="1"/>
      <c r="B290" s="1"/>
      <c r="C290" s="1"/>
      <c r="D290" s="1"/>
      <c r="E290" s="1"/>
      <c r="F290" s="2"/>
      <c r="G290" s="3"/>
      <c r="H290" s="3"/>
      <c r="I290" s="4"/>
      <c r="J290" s="4"/>
      <c r="K290" s="4"/>
      <c r="L290" s="4"/>
      <c r="M290" s="4"/>
      <c r="N290" s="5"/>
      <c r="O290" s="10"/>
    </row>
    <row r="291" ht="15.75" customHeight="1">
      <c r="A291" s="1"/>
      <c r="B291" s="1"/>
      <c r="C291" s="1"/>
      <c r="D291" s="1"/>
      <c r="E291" s="1"/>
      <c r="F291" s="2"/>
      <c r="G291" s="3"/>
      <c r="H291" s="3"/>
      <c r="I291" s="4"/>
      <c r="J291" s="4"/>
      <c r="K291" s="4"/>
      <c r="L291" s="4"/>
      <c r="M291" s="4"/>
      <c r="N291" s="5"/>
      <c r="O291" s="10"/>
    </row>
    <row r="292" ht="15.75" customHeight="1">
      <c r="A292" s="1"/>
      <c r="B292" s="1"/>
      <c r="C292" s="1"/>
      <c r="D292" s="1"/>
      <c r="E292" s="1"/>
      <c r="F292" s="2"/>
      <c r="G292" s="3"/>
      <c r="H292" s="3"/>
      <c r="I292" s="4"/>
      <c r="J292" s="4"/>
      <c r="K292" s="4"/>
      <c r="L292" s="4"/>
      <c r="M292" s="4"/>
      <c r="N292" s="5"/>
      <c r="O292" s="10"/>
    </row>
    <row r="293" ht="15.75" customHeight="1">
      <c r="A293" s="1"/>
      <c r="B293" s="1"/>
      <c r="C293" s="1"/>
      <c r="D293" s="1"/>
      <c r="E293" s="1"/>
      <c r="F293" s="2"/>
      <c r="G293" s="3"/>
      <c r="H293" s="3"/>
      <c r="I293" s="4"/>
      <c r="J293" s="4"/>
      <c r="K293" s="4"/>
      <c r="L293" s="4"/>
      <c r="M293" s="4"/>
      <c r="N293" s="5"/>
      <c r="O293" s="10"/>
    </row>
    <row r="294" ht="15.75" customHeight="1">
      <c r="A294" s="1"/>
      <c r="B294" s="1"/>
      <c r="C294" s="1"/>
      <c r="D294" s="1"/>
      <c r="E294" s="1"/>
      <c r="F294" s="2"/>
      <c r="G294" s="3"/>
      <c r="H294" s="3"/>
      <c r="I294" s="4"/>
      <c r="J294" s="4"/>
      <c r="K294" s="4"/>
      <c r="L294" s="4"/>
      <c r="M294" s="4"/>
      <c r="N294" s="5"/>
      <c r="O294" s="10"/>
    </row>
    <row r="295" ht="15.75" customHeight="1">
      <c r="A295" s="1"/>
      <c r="B295" s="1"/>
      <c r="C295" s="1"/>
      <c r="D295" s="1"/>
      <c r="E295" s="1"/>
      <c r="F295" s="2"/>
      <c r="G295" s="3"/>
      <c r="H295" s="3"/>
      <c r="I295" s="4"/>
      <c r="J295" s="4"/>
      <c r="K295" s="4"/>
      <c r="L295" s="4"/>
      <c r="M295" s="4"/>
      <c r="N295" s="5"/>
      <c r="O295" s="10"/>
    </row>
    <row r="296" ht="15.75" customHeight="1">
      <c r="A296" s="1"/>
      <c r="B296" s="1"/>
      <c r="C296" s="1"/>
      <c r="D296" s="1"/>
      <c r="E296" s="1"/>
      <c r="F296" s="2"/>
      <c r="G296" s="3"/>
      <c r="H296" s="3"/>
      <c r="I296" s="4"/>
      <c r="J296" s="4"/>
      <c r="K296" s="4"/>
      <c r="L296" s="4"/>
      <c r="M296" s="4"/>
      <c r="N296" s="5"/>
      <c r="O296" s="10"/>
    </row>
    <row r="297" ht="15.75" customHeight="1">
      <c r="A297" s="1"/>
      <c r="B297" s="1"/>
      <c r="C297" s="1"/>
      <c r="D297" s="1"/>
      <c r="E297" s="1"/>
      <c r="F297" s="2"/>
      <c r="G297" s="3"/>
      <c r="H297" s="3"/>
      <c r="I297" s="4"/>
      <c r="J297" s="4"/>
      <c r="K297" s="4"/>
      <c r="L297" s="4"/>
      <c r="M297" s="4"/>
      <c r="N297" s="5"/>
      <c r="O297" s="10"/>
    </row>
    <row r="298" ht="15.75" customHeight="1">
      <c r="A298" s="1"/>
      <c r="B298" s="1"/>
      <c r="C298" s="1"/>
      <c r="D298" s="1"/>
      <c r="E298" s="1"/>
      <c r="F298" s="2"/>
      <c r="G298" s="3"/>
      <c r="H298" s="3"/>
      <c r="I298" s="4"/>
      <c r="J298" s="4"/>
      <c r="K298" s="4"/>
      <c r="L298" s="4"/>
      <c r="M298" s="4"/>
      <c r="N298" s="5"/>
      <c r="O298" s="10"/>
    </row>
    <row r="299" ht="15.75" customHeight="1">
      <c r="A299" s="1"/>
      <c r="B299" s="1"/>
      <c r="C299" s="1"/>
      <c r="D299" s="1"/>
      <c r="E299" s="1"/>
      <c r="F299" s="2"/>
      <c r="G299" s="3"/>
      <c r="H299" s="3"/>
      <c r="I299" s="4"/>
      <c r="J299" s="4"/>
      <c r="K299" s="4"/>
      <c r="L299" s="4"/>
      <c r="M299" s="4"/>
      <c r="N299" s="5"/>
      <c r="O299" s="10"/>
    </row>
    <row r="300" ht="15.75" customHeight="1">
      <c r="A300" s="1"/>
      <c r="B300" s="1"/>
      <c r="C300" s="1"/>
      <c r="D300" s="1"/>
      <c r="E300" s="1"/>
      <c r="F300" s="2"/>
      <c r="G300" s="3"/>
      <c r="H300" s="3"/>
      <c r="I300" s="4"/>
      <c r="J300" s="4"/>
      <c r="K300" s="4"/>
      <c r="L300" s="4"/>
      <c r="M300" s="4"/>
      <c r="N300" s="5"/>
      <c r="O300" s="10"/>
    </row>
    <row r="301" ht="15.75" customHeight="1">
      <c r="A301" s="1"/>
      <c r="B301" s="1"/>
      <c r="C301" s="1"/>
      <c r="D301" s="1"/>
      <c r="E301" s="1"/>
      <c r="F301" s="2"/>
      <c r="G301" s="3"/>
      <c r="H301" s="3"/>
      <c r="I301" s="4"/>
      <c r="J301" s="4"/>
      <c r="K301" s="4"/>
      <c r="L301" s="4"/>
      <c r="M301" s="4"/>
      <c r="N301" s="5"/>
      <c r="O301" s="10"/>
    </row>
    <row r="302" ht="15.75" customHeight="1">
      <c r="A302" s="1"/>
      <c r="B302" s="1"/>
      <c r="C302" s="1"/>
      <c r="D302" s="1"/>
      <c r="E302" s="1"/>
      <c r="F302" s="2"/>
      <c r="G302" s="3"/>
      <c r="H302" s="3"/>
      <c r="I302" s="4"/>
      <c r="J302" s="4"/>
      <c r="K302" s="4"/>
      <c r="L302" s="4"/>
      <c r="M302" s="4"/>
      <c r="N302" s="5"/>
      <c r="O302" s="10"/>
    </row>
    <row r="303" ht="15.75" customHeight="1">
      <c r="A303" s="1"/>
      <c r="B303" s="1"/>
      <c r="C303" s="1"/>
      <c r="D303" s="1"/>
      <c r="E303" s="1"/>
      <c r="F303" s="2"/>
      <c r="G303" s="3"/>
      <c r="H303" s="3"/>
      <c r="I303" s="4"/>
      <c r="J303" s="4"/>
      <c r="K303" s="4"/>
      <c r="L303" s="4"/>
      <c r="M303" s="4"/>
      <c r="N303" s="5"/>
      <c r="O303" s="10"/>
    </row>
    <row r="304" ht="15.75" customHeight="1">
      <c r="A304" s="1"/>
      <c r="B304" s="1"/>
      <c r="C304" s="1"/>
      <c r="D304" s="1"/>
      <c r="E304" s="1"/>
      <c r="F304" s="2"/>
      <c r="G304" s="3"/>
      <c r="H304" s="3"/>
      <c r="I304" s="4"/>
      <c r="J304" s="4"/>
      <c r="K304" s="4"/>
      <c r="L304" s="4"/>
      <c r="M304" s="4"/>
      <c r="N304" s="5"/>
      <c r="O304" s="10"/>
    </row>
    <row r="305" ht="15.75" customHeight="1">
      <c r="A305" s="1"/>
      <c r="B305" s="1"/>
      <c r="C305" s="1"/>
      <c r="D305" s="1"/>
      <c r="E305" s="1"/>
      <c r="F305" s="2"/>
      <c r="G305" s="3"/>
      <c r="H305" s="3"/>
      <c r="I305" s="4"/>
      <c r="J305" s="4"/>
      <c r="K305" s="4"/>
      <c r="L305" s="4"/>
      <c r="M305" s="4"/>
      <c r="N305" s="5"/>
      <c r="O305" s="10"/>
    </row>
    <row r="306" ht="15.75" customHeight="1">
      <c r="A306" s="1"/>
      <c r="B306" s="1"/>
      <c r="C306" s="1"/>
      <c r="D306" s="1"/>
      <c r="E306" s="1"/>
      <c r="F306" s="2"/>
      <c r="G306" s="3"/>
      <c r="H306" s="3"/>
      <c r="I306" s="4"/>
      <c r="J306" s="4"/>
      <c r="K306" s="4"/>
      <c r="L306" s="4"/>
      <c r="M306" s="4"/>
      <c r="N306" s="5"/>
      <c r="O306" s="10"/>
    </row>
    <row r="307" ht="15.75" customHeight="1">
      <c r="A307" s="1"/>
      <c r="B307" s="1"/>
      <c r="C307" s="1"/>
      <c r="D307" s="1"/>
      <c r="E307" s="1"/>
      <c r="F307" s="2"/>
      <c r="G307" s="3"/>
      <c r="H307" s="3"/>
      <c r="I307" s="4"/>
      <c r="J307" s="4"/>
      <c r="K307" s="4"/>
      <c r="L307" s="4"/>
      <c r="M307" s="4"/>
      <c r="N307" s="5"/>
      <c r="O307" s="10"/>
    </row>
    <row r="308" ht="15.75" customHeight="1">
      <c r="A308" s="1"/>
      <c r="B308" s="1"/>
      <c r="C308" s="1"/>
      <c r="D308" s="1"/>
      <c r="E308" s="1"/>
      <c r="F308" s="2"/>
      <c r="G308" s="3"/>
      <c r="H308" s="3"/>
      <c r="I308" s="4"/>
      <c r="J308" s="4"/>
      <c r="K308" s="4"/>
      <c r="L308" s="4"/>
      <c r="M308" s="4"/>
      <c r="N308" s="5"/>
      <c r="O308" s="10"/>
    </row>
    <row r="309" ht="15.75" customHeight="1">
      <c r="A309" s="1"/>
      <c r="B309" s="1"/>
      <c r="C309" s="1"/>
      <c r="D309" s="1"/>
      <c r="E309" s="1"/>
      <c r="F309" s="2"/>
      <c r="G309" s="3"/>
      <c r="H309" s="3"/>
      <c r="I309" s="4"/>
      <c r="J309" s="4"/>
      <c r="K309" s="4"/>
      <c r="L309" s="4"/>
      <c r="M309" s="4"/>
      <c r="N309" s="5"/>
      <c r="O309" s="10"/>
    </row>
    <row r="310" ht="15.75" customHeight="1">
      <c r="A310" s="1"/>
      <c r="B310" s="1"/>
      <c r="C310" s="1"/>
      <c r="D310" s="1"/>
      <c r="E310" s="1"/>
      <c r="F310" s="2"/>
      <c r="G310" s="3"/>
      <c r="H310" s="3"/>
      <c r="I310" s="4"/>
      <c r="J310" s="4"/>
      <c r="K310" s="4"/>
      <c r="L310" s="4"/>
      <c r="M310" s="4"/>
      <c r="N310" s="5"/>
      <c r="O310" s="10"/>
    </row>
    <row r="311" ht="15.75" customHeight="1">
      <c r="A311" s="1"/>
      <c r="B311" s="1"/>
      <c r="C311" s="1"/>
      <c r="D311" s="1"/>
      <c r="E311" s="1"/>
      <c r="F311" s="2"/>
      <c r="G311" s="3"/>
      <c r="H311" s="3"/>
      <c r="I311" s="4"/>
      <c r="J311" s="4"/>
      <c r="K311" s="4"/>
      <c r="L311" s="4"/>
      <c r="M311" s="4"/>
      <c r="N311" s="5"/>
      <c r="O311" s="10"/>
    </row>
    <row r="312" ht="15.75" customHeight="1">
      <c r="A312" s="1"/>
      <c r="B312" s="1"/>
      <c r="C312" s="1"/>
      <c r="D312" s="1"/>
      <c r="E312" s="1"/>
      <c r="F312" s="2"/>
      <c r="G312" s="3"/>
      <c r="H312" s="3"/>
      <c r="I312" s="4"/>
      <c r="J312" s="4"/>
      <c r="K312" s="4"/>
      <c r="L312" s="4"/>
      <c r="M312" s="4"/>
      <c r="N312" s="5"/>
      <c r="O312" s="10"/>
    </row>
    <row r="313" ht="15.75" customHeight="1">
      <c r="A313" s="1"/>
      <c r="B313" s="1"/>
      <c r="C313" s="1"/>
      <c r="D313" s="1"/>
      <c r="E313" s="1"/>
      <c r="F313" s="2"/>
      <c r="G313" s="3"/>
      <c r="H313" s="3"/>
      <c r="I313" s="4"/>
      <c r="J313" s="4"/>
      <c r="K313" s="4"/>
      <c r="L313" s="4"/>
      <c r="M313" s="4"/>
      <c r="N313" s="5"/>
      <c r="O313" s="10"/>
    </row>
    <row r="314" ht="15.75" customHeight="1">
      <c r="A314" s="1"/>
      <c r="B314" s="1"/>
      <c r="C314" s="1"/>
      <c r="D314" s="1"/>
      <c r="E314" s="1"/>
      <c r="F314" s="2"/>
      <c r="G314" s="3"/>
      <c r="H314" s="3"/>
      <c r="I314" s="4"/>
      <c r="J314" s="4"/>
      <c r="K314" s="4"/>
      <c r="L314" s="4"/>
      <c r="M314" s="4"/>
      <c r="N314" s="5"/>
      <c r="O314" s="10"/>
    </row>
    <row r="315" ht="15.75" customHeight="1">
      <c r="A315" s="1"/>
      <c r="B315" s="1"/>
      <c r="C315" s="1"/>
      <c r="D315" s="1"/>
      <c r="E315" s="1"/>
      <c r="F315" s="2"/>
      <c r="G315" s="3"/>
      <c r="H315" s="3"/>
      <c r="I315" s="4"/>
      <c r="J315" s="4"/>
      <c r="K315" s="4"/>
      <c r="L315" s="4"/>
      <c r="M315" s="4"/>
      <c r="N315" s="5"/>
      <c r="O315" s="10"/>
    </row>
    <row r="316" ht="15.75" customHeight="1">
      <c r="A316" s="1"/>
      <c r="B316" s="1"/>
      <c r="C316" s="1"/>
      <c r="D316" s="1"/>
      <c r="E316" s="1"/>
      <c r="F316" s="2"/>
      <c r="G316" s="3"/>
      <c r="H316" s="3"/>
      <c r="I316" s="4"/>
      <c r="J316" s="4"/>
      <c r="K316" s="4"/>
      <c r="L316" s="4"/>
      <c r="M316" s="4"/>
      <c r="N316" s="5"/>
      <c r="O316" s="10"/>
    </row>
    <row r="317" ht="15.75" customHeight="1">
      <c r="A317" s="1"/>
      <c r="B317" s="1"/>
      <c r="C317" s="1"/>
      <c r="D317" s="1"/>
      <c r="E317" s="1"/>
      <c r="F317" s="2"/>
      <c r="G317" s="3"/>
      <c r="H317" s="3"/>
      <c r="I317" s="4"/>
      <c r="J317" s="4"/>
      <c r="K317" s="4"/>
      <c r="L317" s="4"/>
      <c r="M317" s="4"/>
      <c r="N317" s="5"/>
      <c r="O317" s="10"/>
    </row>
    <row r="318" ht="15.75" customHeight="1">
      <c r="A318" s="1"/>
      <c r="B318" s="1"/>
      <c r="C318" s="1"/>
      <c r="D318" s="1"/>
      <c r="E318" s="1"/>
      <c r="F318" s="2"/>
      <c r="G318" s="3"/>
      <c r="H318" s="3"/>
      <c r="I318" s="4"/>
      <c r="J318" s="4"/>
      <c r="K318" s="4"/>
      <c r="L318" s="4"/>
      <c r="M318" s="4"/>
      <c r="N318" s="5"/>
      <c r="O318" s="10"/>
    </row>
    <row r="319" ht="15.75" customHeight="1">
      <c r="A319" s="1"/>
      <c r="B319" s="1"/>
      <c r="C319" s="1"/>
      <c r="D319" s="1"/>
      <c r="E319" s="1"/>
      <c r="F319" s="2"/>
      <c r="G319" s="3"/>
      <c r="H319" s="3"/>
      <c r="I319" s="4"/>
      <c r="J319" s="4"/>
      <c r="K319" s="4"/>
      <c r="L319" s="4"/>
      <c r="M319" s="4"/>
      <c r="N319" s="5"/>
      <c r="O319" s="10"/>
    </row>
    <row r="320" ht="15.75" customHeight="1">
      <c r="A320" s="1"/>
      <c r="B320" s="1"/>
      <c r="C320" s="1"/>
      <c r="D320" s="1"/>
      <c r="E320" s="1"/>
      <c r="F320" s="2"/>
      <c r="G320" s="3"/>
      <c r="H320" s="3"/>
      <c r="I320" s="4"/>
      <c r="J320" s="4"/>
      <c r="K320" s="4"/>
      <c r="L320" s="4"/>
      <c r="M320" s="4"/>
      <c r="N320" s="5"/>
      <c r="O320" s="10"/>
    </row>
    <row r="321" ht="15.75" customHeight="1">
      <c r="A321" s="1"/>
      <c r="B321" s="1"/>
      <c r="C321" s="1"/>
      <c r="D321" s="1"/>
      <c r="E321" s="1"/>
      <c r="F321" s="2"/>
      <c r="G321" s="3"/>
      <c r="H321" s="3"/>
      <c r="I321" s="4"/>
      <c r="J321" s="4"/>
      <c r="K321" s="4"/>
      <c r="L321" s="4"/>
      <c r="M321" s="4"/>
      <c r="N321" s="5"/>
      <c r="O321" s="10"/>
    </row>
    <row r="322" ht="15.75" customHeight="1">
      <c r="A322" s="1"/>
      <c r="B322" s="1"/>
      <c r="C322" s="1"/>
      <c r="D322" s="1"/>
      <c r="E322" s="1"/>
      <c r="F322" s="2"/>
      <c r="G322" s="3"/>
      <c r="H322" s="3"/>
      <c r="I322" s="4"/>
      <c r="J322" s="4"/>
      <c r="K322" s="4"/>
      <c r="L322" s="4"/>
      <c r="M322" s="4"/>
      <c r="N322" s="5"/>
      <c r="O322" s="10"/>
    </row>
    <row r="323" ht="15.75" customHeight="1">
      <c r="A323" s="1"/>
      <c r="B323" s="1"/>
      <c r="C323" s="1"/>
      <c r="D323" s="1"/>
      <c r="E323" s="1"/>
      <c r="F323" s="2"/>
      <c r="G323" s="3"/>
      <c r="H323" s="3"/>
      <c r="I323" s="4"/>
      <c r="J323" s="4"/>
      <c r="K323" s="4"/>
      <c r="L323" s="4"/>
      <c r="M323" s="4"/>
      <c r="N323" s="5"/>
      <c r="O323" s="10"/>
    </row>
    <row r="324" ht="15.75" customHeight="1">
      <c r="A324" s="1"/>
      <c r="B324" s="1"/>
      <c r="C324" s="1"/>
      <c r="D324" s="1"/>
      <c r="E324" s="1"/>
      <c r="F324" s="2"/>
      <c r="G324" s="3"/>
      <c r="H324" s="3"/>
      <c r="I324" s="4"/>
      <c r="J324" s="4"/>
      <c r="K324" s="4"/>
      <c r="L324" s="4"/>
      <c r="M324" s="4"/>
      <c r="N324" s="5"/>
      <c r="O324" s="10"/>
    </row>
    <row r="325" ht="15.75" customHeight="1">
      <c r="A325" s="1"/>
      <c r="B325" s="1"/>
      <c r="C325" s="1"/>
      <c r="D325" s="1"/>
      <c r="E325" s="1"/>
      <c r="F325" s="2"/>
      <c r="G325" s="3"/>
      <c r="H325" s="3"/>
      <c r="I325" s="4"/>
      <c r="J325" s="4"/>
      <c r="K325" s="4"/>
      <c r="L325" s="4"/>
      <c r="M325" s="4"/>
      <c r="N325" s="5"/>
      <c r="O325" s="10"/>
    </row>
    <row r="326" ht="15.75" customHeight="1">
      <c r="A326" s="1"/>
      <c r="B326" s="1"/>
      <c r="C326" s="1"/>
      <c r="D326" s="1"/>
      <c r="E326" s="1"/>
      <c r="F326" s="2"/>
      <c r="G326" s="3"/>
      <c r="H326" s="3"/>
      <c r="I326" s="4"/>
      <c r="J326" s="4"/>
      <c r="K326" s="4"/>
      <c r="L326" s="4"/>
      <c r="M326" s="4"/>
      <c r="N326" s="5"/>
      <c r="O326" s="10"/>
    </row>
    <row r="327" ht="15.75" customHeight="1">
      <c r="A327" s="1"/>
      <c r="B327" s="1"/>
      <c r="C327" s="1"/>
      <c r="D327" s="1"/>
      <c r="E327" s="1"/>
      <c r="F327" s="2"/>
      <c r="G327" s="3"/>
      <c r="H327" s="3"/>
      <c r="I327" s="4"/>
      <c r="J327" s="4"/>
      <c r="K327" s="4"/>
      <c r="L327" s="4"/>
      <c r="M327" s="4"/>
      <c r="N327" s="5"/>
      <c r="O327" s="10"/>
    </row>
    <row r="328" ht="15.75" customHeight="1">
      <c r="A328" s="1"/>
      <c r="B328" s="1"/>
      <c r="C328" s="1"/>
      <c r="D328" s="1"/>
      <c r="E328" s="1"/>
      <c r="F328" s="2"/>
      <c r="G328" s="3"/>
      <c r="H328" s="3"/>
      <c r="I328" s="4"/>
      <c r="J328" s="4"/>
      <c r="K328" s="4"/>
      <c r="L328" s="4"/>
      <c r="M328" s="4"/>
      <c r="N328" s="5"/>
      <c r="O328" s="10"/>
    </row>
    <row r="329" ht="15.75" customHeight="1">
      <c r="A329" s="1"/>
      <c r="B329" s="1"/>
      <c r="C329" s="1"/>
      <c r="D329" s="1"/>
      <c r="E329" s="1"/>
      <c r="F329" s="2"/>
      <c r="G329" s="3"/>
      <c r="H329" s="3"/>
      <c r="I329" s="4"/>
      <c r="J329" s="4"/>
      <c r="K329" s="4"/>
      <c r="L329" s="4"/>
      <c r="M329" s="4"/>
      <c r="N329" s="5"/>
      <c r="O329" s="10"/>
    </row>
    <row r="330" ht="15.75" customHeight="1">
      <c r="A330" s="1"/>
      <c r="B330" s="1"/>
      <c r="C330" s="1"/>
      <c r="D330" s="1"/>
      <c r="E330" s="1"/>
      <c r="F330" s="2"/>
      <c r="G330" s="3"/>
      <c r="H330" s="3"/>
      <c r="I330" s="4"/>
      <c r="J330" s="4"/>
      <c r="K330" s="4"/>
      <c r="L330" s="4"/>
      <c r="M330" s="4"/>
      <c r="N330" s="5"/>
      <c r="O330" s="10"/>
    </row>
    <row r="331" ht="15.75" customHeight="1">
      <c r="A331" s="1"/>
      <c r="B331" s="1"/>
      <c r="C331" s="1"/>
      <c r="D331" s="1"/>
      <c r="E331" s="1"/>
      <c r="F331" s="2"/>
      <c r="G331" s="3"/>
      <c r="H331" s="3"/>
      <c r="I331" s="4"/>
      <c r="J331" s="4"/>
      <c r="K331" s="4"/>
      <c r="L331" s="4"/>
      <c r="M331" s="4"/>
      <c r="N331" s="5"/>
      <c r="O331" s="10"/>
    </row>
    <row r="332" ht="15.75" customHeight="1">
      <c r="A332" s="1"/>
      <c r="B332" s="1"/>
      <c r="C332" s="1"/>
      <c r="D332" s="1"/>
      <c r="E332" s="1"/>
      <c r="F332" s="2"/>
      <c r="G332" s="3"/>
      <c r="H332" s="3"/>
      <c r="I332" s="4"/>
      <c r="J332" s="4"/>
      <c r="K332" s="4"/>
      <c r="L332" s="4"/>
      <c r="M332" s="4"/>
      <c r="N332" s="5"/>
      <c r="O332" s="10"/>
    </row>
    <row r="333" ht="15.75" customHeight="1">
      <c r="A333" s="1"/>
      <c r="B333" s="1"/>
      <c r="C333" s="1"/>
      <c r="D333" s="1"/>
      <c r="E333" s="1"/>
      <c r="F333" s="2"/>
      <c r="G333" s="3"/>
      <c r="H333" s="3"/>
      <c r="I333" s="4"/>
      <c r="J333" s="4"/>
      <c r="K333" s="4"/>
      <c r="L333" s="4"/>
      <c r="M333" s="4"/>
      <c r="N333" s="5"/>
      <c r="O333" s="10"/>
    </row>
    <row r="334" ht="15.75" customHeight="1">
      <c r="A334" s="1"/>
      <c r="B334" s="1"/>
      <c r="C334" s="1"/>
      <c r="D334" s="1"/>
      <c r="E334" s="1"/>
      <c r="F334" s="2"/>
      <c r="G334" s="3"/>
      <c r="H334" s="3"/>
      <c r="I334" s="4"/>
      <c r="J334" s="4"/>
      <c r="K334" s="4"/>
      <c r="L334" s="4"/>
      <c r="M334" s="4"/>
      <c r="N334" s="5"/>
      <c r="O334" s="10"/>
    </row>
    <row r="335" ht="15.75" customHeight="1">
      <c r="A335" s="1"/>
      <c r="B335" s="1"/>
      <c r="C335" s="1"/>
      <c r="D335" s="1"/>
      <c r="E335" s="1"/>
      <c r="F335" s="2"/>
      <c r="G335" s="3"/>
      <c r="H335" s="3"/>
      <c r="I335" s="4"/>
      <c r="J335" s="4"/>
      <c r="K335" s="4"/>
      <c r="L335" s="4"/>
      <c r="M335" s="4"/>
      <c r="N335" s="5"/>
      <c r="O335" s="10"/>
    </row>
    <row r="336" ht="15.75" customHeight="1">
      <c r="A336" s="1"/>
      <c r="B336" s="1"/>
      <c r="C336" s="1"/>
      <c r="D336" s="1"/>
      <c r="E336" s="1"/>
      <c r="F336" s="2"/>
      <c r="G336" s="3"/>
      <c r="H336" s="3"/>
      <c r="I336" s="4"/>
      <c r="J336" s="4"/>
      <c r="K336" s="4"/>
      <c r="L336" s="4"/>
      <c r="M336" s="4"/>
      <c r="N336" s="5"/>
      <c r="O336" s="10"/>
    </row>
    <row r="337" ht="15.75" customHeight="1">
      <c r="A337" s="1"/>
      <c r="B337" s="1"/>
      <c r="C337" s="1"/>
      <c r="D337" s="1"/>
      <c r="E337" s="1"/>
      <c r="F337" s="2"/>
      <c r="G337" s="3"/>
      <c r="H337" s="3"/>
      <c r="I337" s="4"/>
      <c r="J337" s="4"/>
      <c r="K337" s="4"/>
      <c r="L337" s="4"/>
      <c r="M337" s="4"/>
      <c r="N337" s="5"/>
      <c r="O337" s="10"/>
    </row>
    <row r="338" ht="15.75" customHeight="1">
      <c r="A338" s="1"/>
      <c r="B338" s="1"/>
      <c r="C338" s="1"/>
      <c r="D338" s="1"/>
      <c r="E338" s="1"/>
      <c r="F338" s="2"/>
      <c r="G338" s="3"/>
      <c r="H338" s="3"/>
      <c r="I338" s="4"/>
      <c r="J338" s="4"/>
      <c r="K338" s="4"/>
      <c r="L338" s="4"/>
      <c r="M338" s="4"/>
      <c r="N338" s="5"/>
      <c r="O338" s="10"/>
    </row>
    <row r="339" ht="15.75" customHeight="1">
      <c r="A339" s="1"/>
      <c r="B339" s="1"/>
      <c r="C339" s="1"/>
      <c r="D339" s="1"/>
      <c r="E339" s="1"/>
      <c r="F339" s="2"/>
      <c r="G339" s="3"/>
      <c r="H339" s="3"/>
      <c r="I339" s="4"/>
      <c r="J339" s="4"/>
      <c r="K339" s="4"/>
      <c r="L339" s="4"/>
      <c r="M339" s="4"/>
      <c r="N339" s="5"/>
      <c r="O339" s="10"/>
    </row>
    <row r="340" ht="15.75" customHeight="1">
      <c r="A340" s="1"/>
      <c r="B340" s="1"/>
      <c r="C340" s="1"/>
      <c r="D340" s="1"/>
      <c r="E340" s="1"/>
      <c r="F340" s="2"/>
      <c r="G340" s="3"/>
      <c r="H340" s="3"/>
      <c r="I340" s="4"/>
      <c r="J340" s="4"/>
      <c r="K340" s="4"/>
      <c r="L340" s="4"/>
      <c r="M340" s="4"/>
      <c r="N340" s="5"/>
      <c r="O340" s="10"/>
    </row>
    <row r="341" ht="15.75" customHeight="1">
      <c r="A341" s="1"/>
      <c r="B341" s="1"/>
      <c r="C341" s="1"/>
      <c r="D341" s="1"/>
      <c r="E341" s="1"/>
      <c r="F341" s="2"/>
      <c r="G341" s="3"/>
      <c r="H341" s="3"/>
      <c r="I341" s="4"/>
      <c r="J341" s="4"/>
      <c r="K341" s="4"/>
      <c r="L341" s="4"/>
      <c r="M341" s="4"/>
      <c r="N341" s="5"/>
      <c r="O341" s="10"/>
    </row>
    <row r="342" ht="15.75" customHeight="1">
      <c r="A342" s="1"/>
      <c r="B342" s="1"/>
      <c r="C342" s="1"/>
      <c r="D342" s="1"/>
      <c r="E342" s="1"/>
      <c r="F342" s="2"/>
      <c r="G342" s="3"/>
      <c r="H342" s="3"/>
      <c r="I342" s="4"/>
      <c r="J342" s="4"/>
      <c r="K342" s="4"/>
      <c r="L342" s="4"/>
      <c r="M342" s="4"/>
      <c r="N342" s="5"/>
      <c r="O342" s="10"/>
    </row>
    <row r="343" ht="15.75" customHeight="1">
      <c r="A343" s="1"/>
      <c r="B343" s="1"/>
      <c r="C343" s="1"/>
      <c r="D343" s="1"/>
      <c r="E343" s="1"/>
      <c r="F343" s="2"/>
      <c r="G343" s="3"/>
      <c r="H343" s="3"/>
      <c r="I343" s="4"/>
      <c r="J343" s="4"/>
      <c r="K343" s="4"/>
      <c r="L343" s="4"/>
      <c r="M343" s="4"/>
      <c r="N343" s="5"/>
      <c r="O343" s="10"/>
    </row>
    <row r="344" ht="15.75" customHeight="1">
      <c r="A344" s="1"/>
      <c r="B344" s="1"/>
      <c r="C344" s="1"/>
      <c r="D344" s="1"/>
      <c r="E344" s="1"/>
      <c r="F344" s="2"/>
      <c r="G344" s="3"/>
      <c r="H344" s="3"/>
      <c r="I344" s="4"/>
      <c r="J344" s="4"/>
      <c r="K344" s="4"/>
      <c r="L344" s="4"/>
      <c r="M344" s="4"/>
      <c r="N344" s="5"/>
      <c r="O344" s="10"/>
    </row>
    <row r="345" ht="15.75" customHeight="1">
      <c r="A345" s="1"/>
      <c r="B345" s="1"/>
      <c r="C345" s="1"/>
      <c r="D345" s="1"/>
      <c r="E345" s="1"/>
      <c r="F345" s="2"/>
      <c r="G345" s="3"/>
      <c r="H345" s="3"/>
      <c r="I345" s="4"/>
      <c r="J345" s="4"/>
      <c r="K345" s="4"/>
      <c r="L345" s="4"/>
      <c r="M345" s="4"/>
      <c r="N345" s="5"/>
      <c r="O345" s="10"/>
    </row>
    <row r="346" ht="15.75" customHeight="1">
      <c r="A346" s="1"/>
      <c r="B346" s="1"/>
      <c r="C346" s="1"/>
      <c r="D346" s="1"/>
      <c r="E346" s="1"/>
      <c r="F346" s="2"/>
      <c r="G346" s="3"/>
      <c r="H346" s="3"/>
      <c r="I346" s="4"/>
      <c r="J346" s="4"/>
      <c r="K346" s="4"/>
      <c r="L346" s="4"/>
      <c r="M346" s="4"/>
      <c r="N346" s="5"/>
      <c r="O346" s="10"/>
    </row>
    <row r="347" ht="15.75" customHeight="1">
      <c r="A347" s="1"/>
      <c r="B347" s="1"/>
      <c r="C347" s="1"/>
      <c r="D347" s="1"/>
      <c r="E347" s="1"/>
      <c r="F347" s="2"/>
      <c r="G347" s="3"/>
      <c r="H347" s="3"/>
      <c r="I347" s="4"/>
      <c r="J347" s="4"/>
      <c r="K347" s="4"/>
      <c r="L347" s="4"/>
      <c r="M347" s="4"/>
      <c r="N347" s="5"/>
      <c r="O347" s="10"/>
    </row>
    <row r="348" ht="15.75" customHeight="1">
      <c r="A348" s="1"/>
      <c r="B348" s="1"/>
      <c r="C348" s="1"/>
      <c r="D348" s="1"/>
      <c r="E348" s="1"/>
      <c r="F348" s="2"/>
      <c r="G348" s="3"/>
      <c r="H348" s="3"/>
      <c r="I348" s="4"/>
      <c r="J348" s="4"/>
      <c r="K348" s="4"/>
      <c r="L348" s="4"/>
      <c r="M348" s="4"/>
      <c r="N348" s="5"/>
      <c r="O348" s="10"/>
    </row>
    <row r="349" ht="15.75" customHeight="1">
      <c r="A349" s="1"/>
      <c r="B349" s="1"/>
      <c r="C349" s="1"/>
      <c r="D349" s="1"/>
      <c r="E349" s="1"/>
      <c r="F349" s="2"/>
      <c r="G349" s="3"/>
      <c r="H349" s="3"/>
      <c r="I349" s="4"/>
      <c r="J349" s="4"/>
      <c r="K349" s="4"/>
      <c r="L349" s="4"/>
      <c r="M349" s="4"/>
      <c r="N349" s="5"/>
      <c r="O349" s="10"/>
    </row>
    <row r="350" ht="15.75" customHeight="1">
      <c r="A350" s="1"/>
      <c r="B350" s="1"/>
      <c r="C350" s="1"/>
      <c r="D350" s="1"/>
      <c r="E350" s="1"/>
      <c r="F350" s="2"/>
      <c r="G350" s="3"/>
      <c r="H350" s="3"/>
      <c r="I350" s="4"/>
      <c r="J350" s="4"/>
      <c r="K350" s="4"/>
      <c r="L350" s="4"/>
      <c r="M350" s="4"/>
      <c r="N350" s="5"/>
      <c r="O350" s="10"/>
    </row>
    <row r="351" ht="15.75" customHeight="1">
      <c r="A351" s="1"/>
      <c r="B351" s="1"/>
      <c r="C351" s="1"/>
      <c r="D351" s="1"/>
      <c r="E351" s="1"/>
      <c r="F351" s="2"/>
      <c r="G351" s="3"/>
      <c r="H351" s="3"/>
      <c r="I351" s="4"/>
      <c r="J351" s="4"/>
      <c r="K351" s="4"/>
      <c r="L351" s="4"/>
      <c r="M351" s="4"/>
      <c r="N351" s="5"/>
      <c r="O351" s="10"/>
    </row>
    <row r="352" ht="15.75" customHeight="1">
      <c r="A352" s="1"/>
      <c r="B352" s="1"/>
      <c r="C352" s="1"/>
      <c r="D352" s="1"/>
      <c r="E352" s="1"/>
      <c r="F352" s="2"/>
      <c r="G352" s="3"/>
      <c r="H352" s="3"/>
      <c r="I352" s="4"/>
      <c r="J352" s="4"/>
      <c r="K352" s="4"/>
      <c r="L352" s="4"/>
      <c r="M352" s="4"/>
      <c r="N352" s="5"/>
      <c r="O352" s="10"/>
    </row>
    <row r="353" ht="15.75" customHeight="1">
      <c r="A353" s="1"/>
      <c r="B353" s="1"/>
      <c r="C353" s="1"/>
      <c r="D353" s="1"/>
      <c r="E353" s="1"/>
      <c r="F353" s="2"/>
      <c r="G353" s="3"/>
      <c r="H353" s="3"/>
      <c r="I353" s="4"/>
      <c r="J353" s="4"/>
      <c r="K353" s="4"/>
      <c r="L353" s="4"/>
      <c r="M353" s="4"/>
      <c r="N353" s="5"/>
      <c r="O353" s="10"/>
    </row>
    <row r="354" ht="15.75" customHeight="1">
      <c r="A354" s="1"/>
      <c r="B354" s="1"/>
      <c r="C354" s="1"/>
      <c r="D354" s="1"/>
      <c r="E354" s="1"/>
      <c r="F354" s="2"/>
      <c r="G354" s="3"/>
      <c r="H354" s="3"/>
      <c r="I354" s="4"/>
      <c r="J354" s="4"/>
      <c r="K354" s="4"/>
      <c r="L354" s="4"/>
      <c r="M354" s="4"/>
      <c r="N354" s="5"/>
      <c r="O354" s="10"/>
    </row>
    <row r="355" ht="15.75" customHeight="1">
      <c r="A355" s="1"/>
      <c r="B355" s="1"/>
      <c r="C355" s="1"/>
      <c r="D355" s="1"/>
      <c r="E355" s="1"/>
      <c r="F355" s="2"/>
      <c r="G355" s="3"/>
      <c r="H355" s="3"/>
      <c r="I355" s="4"/>
      <c r="J355" s="4"/>
      <c r="K355" s="4"/>
      <c r="L355" s="4"/>
      <c r="M355" s="4"/>
      <c r="N355" s="5"/>
      <c r="O355" s="10"/>
    </row>
    <row r="356" ht="15.75" customHeight="1">
      <c r="A356" s="1"/>
      <c r="B356" s="1"/>
      <c r="C356" s="1"/>
      <c r="D356" s="1"/>
      <c r="E356" s="1"/>
      <c r="F356" s="2"/>
      <c r="G356" s="3"/>
      <c r="H356" s="3"/>
      <c r="I356" s="4"/>
      <c r="J356" s="4"/>
      <c r="K356" s="4"/>
      <c r="L356" s="4"/>
      <c r="M356" s="4"/>
      <c r="N356" s="5"/>
      <c r="O356" s="10"/>
    </row>
    <row r="357" ht="15.75" customHeight="1">
      <c r="A357" s="1"/>
      <c r="B357" s="1"/>
      <c r="C357" s="1"/>
      <c r="D357" s="1"/>
      <c r="E357" s="1"/>
      <c r="F357" s="2"/>
      <c r="G357" s="3"/>
      <c r="H357" s="3"/>
      <c r="I357" s="4"/>
      <c r="J357" s="4"/>
      <c r="K357" s="4"/>
      <c r="L357" s="4"/>
      <c r="M357" s="4"/>
      <c r="N357" s="5"/>
      <c r="O357" s="10"/>
    </row>
    <row r="358" ht="15.75" customHeight="1">
      <c r="A358" s="1"/>
      <c r="B358" s="1"/>
      <c r="C358" s="1"/>
      <c r="D358" s="1"/>
      <c r="E358" s="1"/>
      <c r="F358" s="2"/>
      <c r="G358" s="3"/>
      <c r="H358" s="3"/>
      <c r="I358" s="4"/>
      <c r="J358" s="4"/>
      <c r="K358" s="4"/>
      <c r="L358" s="4"/>
      <c r="M358" s="4"/>
      <c r="N358" s="5"/>
      <c r="O358" s="10"/>
    </row>
    <row r="359" ht="15.75" customHeight="1">
      <c r="A359" s="1"/>
      <c r="B359" s="1"/>
      <c r="C359" s="1"/>
      <c r="D359" s="1"/>
      <c r="E359" s="1"/>
      <c r="F359" s="2"/>
      <c r="G359" s="3"/>
      <c r="H359" s="3"/>
      <c r="I359" s="4"/>
      <c r="J359" s="4"/>
      <c r="K359" s="4"/>
      <c r="L359" s="4"/>
      <c r="M359" s="4"/>
      <c r="N359" s="5"/>
      <c r="O359" s="10"/>
    </row>
    <row r="360" ht="15.75" customHeight="1">
      <c r="A360" s="1"/>
      <c r="B360" s="1"/>
      <c r="C360" s="1"/>
      <c r="D360" s="1"/>
      <c r="E360" s="1"/>
      <c r="F360" s="2"/>
      <c r="G360" s="3"/>
      <c r="H360" s="3"/>
      <c r="I360" s="4"/>
      <c r="J360" s="4"/>
      <c r="K360" s="4"/>
      <c r="L360" s="4"/>
      <c r="M360" s="4"/>
      <c r="N360" s="5"/>
      <c r="O360" s="10"/>
    </row>
    <row r="361" ht="15.75" customHeight="1">
      <c r="O361" s="2"/>
    </row>
    <row r="362" ht="15.75" customHeight="1">
      <c r="O362" s="2"/>
    </row>
    <row r="363" ht="15.75" customHeight="1">
      <c r="O363" s="2"/>
    </row>
    <row r="364" ht="15.75" customHeight="1">
      <c r="O364" s="2"/>
    </row>
    <row r="365" ht="15.75" customHeight="1">
      <c r="O365" s="2"/>
    </row>
    <row r="366" ht="15.75" customHeight="1">
      <c r="O366" s="2"/>
    </row>
    <row r="367" ht="15.75" customHeight="1">
      <c r="O367" s="2"/>
    </row>
    <row r="368" ht="15.75" customHeight="1">
      <c r="O368" s="2"/>
    </row>
    <row r="369" ht="15.75" customHeight="1">
      <c r="O369" s="2"/>
    </row>
    <row r="370" ht="15.75" customHeight="1">
      <c r="O370" s="2"/>
    </row>
    <row r="371" ht="15.75" customHeight="1">
      <c r="O371" s="2"/>
    </row>
    <row r="372" ht="15.75" customHeight="1">
      <c r="O372" s="2"/>
    </row>
    <row r="373" ht="15.75" customHeight="1">
      <c r="O373" s="2"/>
    </row>
    <row r="374" ht="15.75" customHeight="1">
      <c r="O374" s="2"/>
    </row>
    <row r="375" ht="15.75" customHeight="1">
      <c r="O375" s="2"/>
    </row>
    <row r="376" ht="15.75" customHeight="1">
      <c r="O376" s="2"/>
    </row>
    <row r="377" ht="15.75" customHeight="1">
      <c r="O377" s="2"/>
    </row>
    <row r="378" ht="15.75" customHeight="1">
      <c r="O378" s="2"/>
    </row>
    <row r="379" ht="15.75" customHeight="1">
      <c r="O379" s="2"/>
    </row>
    <row r="380" ht="15.75" customHeight="1">
      <c r="O380" s="2"/>
    </row>
    <row r="381" ht="15.75" customHeight="1">
      <c r="O381" s="2"/>
    </row>
    <row r="382" ht="15.75" customHeight="1">
      <c r="O382" s="2"/>
    </row>
    <row r="383" ht="15.75" customHeight="1">
      <c r="O383" s="2"/>
    </row>
    <row r="384" ht="15.75" customHeight="1">
      <c r="O384" s="2"/>
    </row>
    <row r="385" ht="15.75" customHeight="1">
      <c r="O385" s="2"/>
    </row>
    <row r="386" ht="15.75" customHeight="1">
      <c r="O386" s="2"/>
    </row>
    <row r="387" ht="15.75" customHeight="1">
      <c r="O387" s="2"/>
    </row>
    <row r="388" ht="15.75" customHeight="1">
      <c r="O388" s="2"/>
    </row>
    <row r="389" ht="15.75" customHeight="1">
      <c r="O389" s="2"/>
    </row>
    <row r="390" ht="15.75" customHeight="1">
      <c r="O390" s="2"/>
    </row>
    <row r="391" ht="15.75" customHeight="1">
      <c r="O391" s="2"/>
    </row>
    <row r="392" ht="15.75" customHeight="1">
      <c r="O392" s="2"/>
    </row>
    <row r="393" ht="15.75" customHeight="1">
      <c r="O393" s="2"/>
    </row>
    <row r="394" ht="15.75" customHeight="1">
      <c r="O394" s="2"/>
    </row>
    <row r="395" ht="15.75" customHeight="1">
      <c r="O395" s="2"/>
    </row>
    <row r="396" ht="15.75" customHeight="1">
      <c r="O396" s="2"/>
    </row>
    <row r="397" ht="15.75" customHeight="1">
      <c r="O397" s="2"/>
    </row>
    <row r="398" ht="15.75" customHeight="1">
      <c r="O398" s="2"/>
    </row>
    <row r="399" ht="15.75" customHeight="1">
      <c r="O399" s="2"/>
    </row>
    <row r="400" ht="15.75" customHeight="1">
      <c r="O400" s="2"/>
    </row>
    <row r="401" ht="15.75" customHeight="1">
      <c r="O401" s="2"/>
    </row>
    <row r="402" ht="15.75" customHeight="1">
      <c r="O402" s="2"/>
    </row>
    <row r="403" ht="15.75" customHeight="1">
      <c r="O403" s="2"/>
    </row>
    <row r="404" ht="15.75" customHeight="1">
      <c r="O404" s="2"/>
    </row>
    <row r="405" ht="15.75" customHeight="1">
      <c r="O405" s="2"/>
    </row>
    <row r="406" ht="15.75" customHeight="1">
      <c r="O406" s="2"/>
    </row>
    <row r="407" ht="15.75" customHeight="1">
      <c r="O407" s="2"/>
    </row>
    <row r="408" ht="15.75" customHeight="1">
      <c r="O408" s="2"/>
    </row>
    <row r="409" ht="15.75" customHeight="1">
      <c r="O409" s="2"/>
    </row>
    <row r="410" ht="15.75" customHeight="1">
      <c r="O410" s="2"/>
    </row>
    <row r="411" ht="15.75" customHeight="1">
      <c r="O411" s="2"/>
    </row>
    <row r="412" ht="15.75" customHeight="1">
      <c r="O412" s="2"/>
    </row>
    <row r="413" ht="15.75" customHeight="1">
      <c r="O413" s="2"/>
    </row>
    <row r="414" ht="15.75" customHeight="1">
      <c r="O414" s="2"/>
    </row>
    <row r="415" ht="15.75" customHeight="1">
      <c r="O415" s="2"/>
    </row>
    <row r="416" ht="15.75" customHeight="1">
      <c r="O416" s="2"/>
    </row>
    <row r="417" ht="15.75" customHeight="1">
      <c r="O417" s="2"/>
    </row>
    <row r="418" ht="15.75" customHeight="1">
      <c r="O418" s="2"/>
    </row>
    <row r="419" ht="15.75" customHeight="1">
      <c r="O419" s="2"/>
    </row>
    <row r="420" ht="15.75" customHeight="1">
      <c r="O420" s="2"/>
    </row>
    <row r="421" ht="15.75" customHeight="1">
      <c r="O421" s="2"/>
    </row>
    <row r="422" ht="15.75" customHeight="1">
      <c r="O422" s="2"/>
    </row>
    <row r="423" ht="15.75" customHeight="1">
      <c r="O423" s="2"/>
    </row>
    <row r="424" ht="15.75" customHeight="1">
      <c r="O424" s="2"/>
    </row>
    <row r="425" ht="15.75" customHeight="1">
      <c r="O425" s="2"/>
    </row>
    <row r="426" ht="15.75" customHeight="1">
      <c r="O426" s="2"/>
    </row>
    <row r="427" ht="15.75" customHeight="1">
      <c r="O427" s="2"/>
    </row>
    <row r="428" ht="15.75" customHeight="1">
      <c r="O428" s="2"/>
    </row>
    <row r="429" ht="15.75" customHeight="1">
      <c r="O429" s="2"/>
    </row>
    <row r="430" ht="15.75" customHeight="1">
      <c r="O430" s="2"/>
    </row>
    <row r="431" ht="15.75" customHeight="1">
      <c r="O431" s="2"/>
    </row>
    <row r="432" ht="15.75" customHeight="1">
      <c r="O432" s="2"/>
    </row>
    <row r="433" ht="15.75" customHeight="1">
      <c r="O433" s="2"/>
    </row>
    <row r="434" ht="15.75" customHeight="1">
      <c r="O434" s="2"/>
    </row>
    <row r="435" ht="15.75" customHeight="1">
      <c r="O435" s="2"/>
    </row>
    <row r="436" ht="15.75" customHeight="1">
      <c r="O436" s="2"/>
    </row>
    <row r="437" ht="15.75" customHeight="1">
      <c r="O437" s="2"/>
    </row>
    <row r="438" ht="15.75" customHeight="1">
      <c r="O438" s="2"/>
    </row>
    <row r="439" ht="15.75" customHeight="1">
      <c r="O439" s="2"/>
    </row>
    <row r="440" ht="15.75" customHeight="1">
      <c r="O440" s="2"/>
    </row>
    <row r="441" ht="15.75" customHeight="1">
      <c r="O441" s="2"/>
    </row>
    <row r="442" ht="15.75" customHeight="1">
      <c r="O442" s="2"/>
    </row>
    <row r="443" ht="15.75" customHeight="1">
      <c r="O443" s="2"/>
    </row>
    <row r="444" ht="15.75" customHeight="1">
      <c r="O444" s="2"/>
    </row>
    <row r="445" ht="15.75" customHeight="1">
      <c r="O445" s="2"/>
    </row>
    <row r="446" ht="15.75" customHeight="1">
      <c r="O446" s="2"/>
    </row>
    <row r="447" ht="15.75" customHeight="1">
      <c r="O447" s="2"/>
    </row>
    <row r="448" ht="15.75" customHeight="1">
      <c r="O448" s="2"/>
    </row>
    <row r="449" ht="15.75" customHeight="1">
      <c r="O449" s="2"/>
    </row>
    <row r="450" ht="15.75" customHeight="1">
      <c r="O450" s="2"/>
    </row>
    <row r="451" ht="15.75" customHeight="1">
      <c r="O451" s="2"/>
    </row>
    <row r="452" ht="15.75" customHeight="1">
      <c r="O452" s="2"/>
    </row>
    <row r="453" ht="15.75" customHeight="1">
      <c r="O453" s="2"/>
    </row>
    <row r="454" ht="15.75" customHeight="1">
      <c r="O454" s="2"/>
    </row>
    <row r="455" ht="15.75" customHeight="1">
      <c r="O455" s="2"/>
    </row>
    <row r="456" ht="15.75" customHeight="1">
      <c r="O456" s="2"/>
    </row>
    <row r="457" ht="15.75" customHeight="1">
      <c r="O457" s="2"/>
    </row>
    <row r="458" ht="15.75" customHeight="1">
      <c r="O458" s="2"/>
    </row>
    <row r="459" ht="15.75" customHeight="1">
      <c r="O459" s="2"/>
    </row>
    <row r="460" ht="15.75" customHeight="1">
      <c r="O460" s="2"/>
    </row>
    <row r="461" ht="15.75" customHeight="1">
      <c r="O461" s="2"/>
    </row>
    <row r="462" ht="15.75" customHeight="1">
      <c r="O462" s="2"/>
    </row>
    <row r="463" ht="15.75" customHeight="1">
      <c r="O463" s="2"/>
    </row>
    <row r="464" ht="15.75" customHeight="1">
      <c r="O464" s="2"/>
    </row>
    <row r="465" ht="15.75" customHeight="1">
      <c r="O465" s="2"/>
    </row>
    <row r="466" ht="15.75" customHeight="1">
      <c r="O466" s="2"/>
    </row>
    <row r="467" ht="15.75" customHeight="1">
      <c r="O467" s="2"/>
    </row>
    <row r="468" ht="15.75" customHeight="1">
      <c r="O468" s="2"/>
    </row>
    <row r="469" ht="15.75" customHeight="1">
      <c r="O469" s="2"/>
    </row>
    <row r="470" ht="15.75" customHeight="1">
      <c r="O470" s="2"/>
    </row>
    <row r="471" ht="15.75" customHeight="1">
      <c r="O471" s="2"/>
    </row>
    <row r="472" ht="15.75" customHeight="1">
      <c r="O472" s="2"/>
    </row>
    <row r="473" ht="15.75" customHeight="1">
      <c r="O473" s="2"/>
    </row>
    <row r="474" ht="15.75" customHeight="1">
      <c r="O474" s="2"/>
    </row>
    <row r="475" ht="15.75" customHeight="1">
      <c r="O475" s="2"/>
    </row>
    <row r="476" ht="15.75" customHeight="1">
      <c r="O476" s="2"/>
    </row>
    <row r="477" ht="15.75" customHeight="1">
      <c r="O477" s="2"/>
    </row>
    <row r="478" ht="15.75" customHeight="1">
      <c r="O478" s="2"/>
    </row>
    <row r="479" ht="15.75" customHeight="1">
      <c r="O479" s="2"/>
    </row>
    <row r="480" ht="15.75" customHeight="1">
      <c r="O480" s="2"/>
    </row>
    <row r="481" ht="15.75" customHeight="1">
      <c r="O481" s="2"/>
    </row>
    <row r="482" ht="15.75" customHeight="1">
      <c r="O482" s="2"/>
    </row>
    <row r="483" ht="15.75" customHeight="1">
      <c r="O483" s="2"/>
    </row>
    <row r="484" ht="15.75" customHeight="1">
      <c r="O484" s="2"/>
    </row>
    <row r="485" ht="15.75" customHeight="1">
      <c r="O485" s="2"/>
    </row>
    <row r="486" ht="15.75" customHeight="1">
      <c r="O486" s="2"/>
    </row>
    <row r="487" ht="15.75" customHeight="1">
      <c r="O487" s="2"/>
    </row>
    <row r="488" ht="15.75" customHeight="1">
      <c r="O488" s="2"/>
    </row>
    <row r="489" ht="15.75" customHeight="1">
      <c r="O489" s="2"/>
    </row>
    <row r="490" ht="15.75" customHeight="1">
      <c r="O490" s="2"/>
    </row>
    <row r="491" ht="15.75" customHeight="1">
      <c r="O491" s="2"/>
    </row>
    <row r="492" ht="15.75" customHeight="1">
      <c r="O492" s="2"/>
    </row>
    <row r="493" ht="15.75" customHeight="1">
      <c r="O493" s="2"/>
    </row>
    <row r="494" ht="15.75" customHeight="1">
      <c r="O494" s="2"/>
    </row>
    <row r="495" ht="15.75" customHeight="1">
      <c r="O495" s="2"/>
    </row>
    <row r="496" ht="15.75" customHeight="1">
      <c r="O496" s="2"/>
    </row>
    <row r="497" ht="15.75" customHeight="1">
      <c r="O497" s="2"/>
    </row>
    <row r="498" ht="15.75" customHeight="1">
      <c r="O498" s="2"/>
    </row>
    <row r="499" ht="15.75" customHeight="1">
      <c r="O499" s="2"/>
    </row>
    <row r="500" ht="15.75" customHeight="1">
      <c r="O500" s="2"/>
    </row>
    <row r="501" ht="15.75" customHeight="1">
      <c r="O501" s="2"/>
    </row>
    <row r="502" ht="15.75" customHeight="1">
      <c r="O502" s="2"/>
    </row>
    <row r="503" ht="15.75" customHeight="1">
      <c r="O503" s="2"/>
    </row>
    <row r="504" ht="15.75" customHeight="1">
      <c r="O504" s="2"/>
    </row>
    <row r="505" ht="15.75" customHeight="1">
      <c r="O505" s="2"/>
    </row>
    <row r="506" ht="15.75" customHeight="1">
      <c r="O506" s="2"/>
    </row>
    <row r="507" ht="15.75" customHeight="1">
      <c r="O507" s="2"/>
    </row>
    <row r="508" ht="15.75" customHeight="1">
      <c r="O508" s="2"/>
    </row>
    <row r="509" ht="15.75" customHeight="1">
      <c r="O509" s="2"/>
    </row>
    <row r="510" ht="15.75" customHeight="1">
      <c r="O510" s="2"/>
    </row>
    <row r="511" ht="15.75" customHeight="1">
      <c r="O511" s="2"/>
    </row>
    <row r="512" ht="15.75" customHeight="1">
      <c r="O512" s="2"/>
    </row>
    <row r="513" ht="15.75" customHeight="1">
      <c r="O513" s="2"/>
    </row>
    <row r="514" ht="15.75" customHeight="1">
      <c r="O514" s="2"/>
    </row>
    <row r="515" ht="15.75" customHeight="1">
      <c r="O515" s="2"/>
    </row>
    <row r="516" ht="15.75" customHeight="1">
      <c r="O516" s="2"/>
    </row>
    <row r="517" ht="15.75" customHeight="1">
      <c r="O517" s="2"/>
    </row>
    <row r="518" ht="15.75" customHeight="1">
      <c r="O518" s="2"/>
    </row>
    <row r="519" ht="15.75" customHeight="1">
      <c r="O519" s="2"/>
    </row>
    <row r="520" ht="15.75" customHeight="1">
      <c r="O520" s="2"/>
    </row>
    <row r="521" ht="15.75" customHeight="1">
      <c r="O521" s="2"/>
    </row>
    <row r="522" ht="15.75" customHeight="1">
      <c r="O522" s="2"/>
    </row>
    <row r="523" ht="15.75" customHeight="1">
      <c r="O523" s="2"/>
    </row>
    <row r="524" ht="15.75" customHeight="1">
      <c r="O524" s="2"/>
    </row>
    <row r="525" ht="15.75" customHeight="1">
      <c r="O525" s="2"/>
    </row>
    <row r="526" ht="15.75" customHeight="1">
      <c r="O526" s="2"/>
    </row>
    <row r="527" ht="15.75" customHeight="1">
      <c r="O527" s="2"/>
    </row>
    <row r="528" ht="15.75" customHeight="1">
      <c r="O528" s="2"/>
    </row>
    <row r="529" ht="15.75" customHeight="1">
      <c r="O529" s="2"/>
    </row>
    <row r="530" ht="15.75" customHeight="1">
      <c r="O530" s="2"/>
    </row>
    <row r="531" ht="15.75" customHeight="1">
      <c r="O531" s="2"/>
    </row>
    <row r="532" ht="15.75" customHeight="1">
      <c r="O532" s="2"/>
    </row>
    <row r="533" ht="15.75" customHeight="1">
      <c r="O533" s="2"/>
    </row>
    <row r="534" ht="15.75" customHeight="1">
      <c r="O534" s="2"/>
    </row>
    <row r="535" ht="15.75" customHeight="1">
      <c r="O535" s="2"/>
    </row>
    <row r="536" ht="15.75" customHeight="1">
      <c r="O536" s="2"/>
    </row>
    <row r="537" ht="15.75" customHeight="1">
      <c r="O537" s="2"/>
    </row>
    <row r="538" ht="15.75" customHeight="1">
      <c r="O538" s="2"/>
    </row>
    <row r="539" ht="15.75" customHeight="1">
      <c r="O539" s="2"/>
    </row>
    <row r="540" ht="15.75" customHeight="1">
      <c r="O540" s="2"/>
    </row>
    <row r="541" ht="15.75" customHeight="1">
      <c r="O541" s="2"/>
    </row>
    <row r="542" ht="15.75" customHeight="1">
      <c r="O542" s="2"/>
    </row>
    <row r="543" ht="15.75" customHeight="1">
      <c r="O543" s="2"/>
    </row>
    <row r="544" ht="15.75" customHeight="1">
      <c r="O544" s="2"/>
    </row>
    <row r="545" ht="15.75" customHeight="1">
      <c r="O545" s="2"/>
    </row>
    <row r="546" ht="15.75" customHeight="1">
      <c r="O546" s="2"/>
    </row>
    <row r="547" ht="15.75" customHeight="1">
      <c r="O547" s="2"/>
    </row>
    <row r="548" ht="15.75" customHeight="1">
      <c r="O548" s="2"/>
    </row>
    <row r="549" ht="15.75" customHeight="1">
      <c r="O549" s="2"/>
    </row>
    <row r="550" ht="15.75" customHeight="1">
      <c r="O550" s="2"/>
    </row>
    <row r="551" ht="15.75" customHeight="1">
      <c r="O551" s="2"/>
    </row>
    <row r="552" ht="15.75" customHeight="1">
      <c r="O552" s="2"/>
    </row>
    <row r="553" ht="15.75" customHeight="1">
      <c r="O553" s="2"/>
    </row>
    <row r="554" ht="15.75" customHeight="1">
      <c r="O554" s="2"/>
    </row>
    <row r="555" ht="15.75" customHeight="1">
      <c r="O555" s="2"/>
    </row>
    <row r="556" ht="15.75" customHeight="1">
      <c r="O556" s="2"/>
    </row>
    <row r="557" ht="15.75" customHeight="1">
      <c r="O557" s="2"/>
    </row>
    <row r="558" ht="15.75" customHeight="1">
      <c r="O558" s="2"/>
    </row>
    <row r="559" ht="15.75" customHeight="1">
      <c r="O559" s="2"/>
    </row>
    <row r="560" ht="15.75" customHeight="1">
      <c r="O560" s="2"/>
    </row>
    <row r="561" ht="15.75" customHeight="1">
      <c r="O561" s="2"/>
    </row>
    <row r="562" ht="15.75" customHeight="1">
      <c r="O562" s="2"/>
    </row>
    <row r="563" ht="15.75" customHeight="1">
      <c r="O563" s="2"/>
    </row>
    <row r="564" ht="15.75" customHeight="1">
      <c r="O564" s="2"/>
    </row>
    <row r="565" ht="15.75" customHeight="1">
      <c r="O565" s="2"/>
    </row>
    <row r="566" ht="15.75" customHeight="1">
      <c r="O566" s="2"/>
    </row>
    <row r="567" ht="15.75" customHeight="1">
      <c r="O567" s="2"/>
    </row>
    <row r="568" ht="15.75" customHeight="1">
      <c r="O568" s="2"/>
    </row>
    <row r="569" ht="15.75" customHeight="1">
      <c r="O569" s="2"/>
    </row>
    <row r="570" ht="15.75" customHeight="1">
      <c r="O570" s="2"/>
    </row>
    <row r="571" ht="15.75" customHeight="1">
      <c r="O571" s="2"/>
    </row>
    <row r="572" ht="15.75" customHeight="1">
      <c r="O572" s="2"/>
    </row>
    <row r="573" ht="15.75" customHeight="1">
      <c r="O573" s="2"/>
    </row>
    <row r="574" ht="15.75" customHeight="1">
      <c r="O574" s="2"/>
    </row>
    <row r="575" ht="15.75" customHeight="1">
      <c r="O575" s="2"/>
    </row>
    <row r="576" ht="15.75" customHeight="1">
      <c r="O576" s="2"/>
    </row>
    <row r="577" ht="15.75" customHeight="1">
      <c r="O577" s="2"/>
    </row>
    <row r="578" ht="15.75" customHeight="1">
      <c r="O578" s="2"/>
    </row>
    <row r="579" ht="15.75" customHeight="1">
      <c r="O579" s="2"/>
    </row>
    <row r="580" ht="15.75" customHeight="1">
      <c r="O580" s="2"/>
    </row>
    <row r="581" ht="15.75" customHeight="1">
      <c r="O581" s="2"/>
    </row>
    <row r="582" ht="15.75" customHeight="1">
      <c r="O582" s="2"/>
    </row>
    <row r="583" ht="15.75" customHeight="1">
      <c r="O583" s="2"/>
    </row>
    <row r="584" ht="15.75" customHeight="1">
      <c r="O584" s="2"/>
    </row>
    <row r="585" ht="15.75" customHeight="1">
      <c r="O585" s="2"/>
    </row>
    <row r="586" ht="15.75" customHeight="1">
      <c r="O586" s="2"/>
    </row>
    <row r="587" ht="15.75" customHeight="1">
      <c r="O587" s="2"/>
    </row>
    <row r="588" ht="15.75" customHeight="1">
      <c r="O588" s="2"/>
    </row>
    <row r="589" ht="15.75" customHeight="1">
      <c r="O589" s="2"/>
    </row>
    <row r="590" ht="15.75" customHeight="1">
      <c r="O590" s="2"/>
    </row>
    <row r="591" ht="15.75" customHeight="1">
      <c r="O591" s="2"/>
    </row>
    <row r="592" ht="15.75" customHeight="1">
      <c r="O592" s="2"/>
    </row>
    <row r="593" ht="15.75" customHeight="1">
      <c r="O593" s="2"/>
    </row>
    <row r="594" ht="15.75" customHeight="1">
      <c r="O594" s="2"/>
    </row>
    <row r="595" ht="15.75" customHeight="1">
      <c r="O595" s="2"/>
    </row>
    <row r="596" ht="15.75" customHeight="1">
      <c r="O596" s="2"/>
    </row>
    <row r="597" ht="15.75" customHeight="1">
      <c r="O597" s="2"/>
    </row>
    <row r="598" ht="15.75" customHeight="1">
      <c r="O598" s="2"/>
    </row>
    <row r="599" ht="15.75" customHeight="1">
      <c r="O599" s="2"/>
    </row>
    <row r="600" ht="15.75" customHeight="1">
      <c r="O600" s="2"/>
    </row>
    <row r="601" ht="15.75" customHeight="1">
      <c r="O601" s="2"/>
    </row>
    <row r="602" ht="15.75" customHeight="1">
      <c r="O602" s="2"/>
    </row>
    <row r="603" ht="15.75" customHeight="1">
      <c r="O603" s="2"/>
    </row>
    <row r="604" ht="15.75" customHeight="1">
      <c r="O604" s="2"/>
    </row>
    <row r="605" ht="15.75" customHeight="1">
      <c r="O605" s="2"/>
    </row>
    <row r="606" ht="15.75" customHeight="1">
      <c r="O606" s="2"/>
    </row>
    <row r="607" ht="15.75" customHeight="1">
      <c r="O607" s="2"/>
    </row>
    <row r="608" ht="15.75" customHeight="1">
      <c r="O608" s="2"/>
    </row>
    <row r="609" ht="15.75" customHeight="1">
      <c r="O609" s="2"/>
    </row>
    <row r="610" ht="15.75" customHeight="1">
      <c r="O610" s="2"/>
    </row>
    <row r="611" ht="15.75" customHeight="1">
      <c r="O611" s="2"/>
    </row>
    <row r="612" ht="15.75" customHeight="1">
      <c r="O612" s="2"/>
    </row>
    <row r="613" ht="15.75" customHeight="1">
      <c r="O613" s="2"/>
    </row>
    <row r="614" ht="15.75" customHeight="1">
      <c r="O614" s="2"/>
    </row>
    <row r="615" ht="15.75" customHeight="1">
      <c r="O615" s="2"/>
    </row>
    <row r="616" ht="15.75" customHeight="1">
      <c r="O616" s="2"/>
    </row>
    <row r="617" ht="15.75" customHeight="1">
      <c r="O617" s="2"/>
    </row>
    <row r="618" ht="15.75" customHeight="1">
      <c r="O618" s="2"/>
    </row>
    <row r="619" ht="15.75" customHeight="1">
      <c r="O619" s="2"/>
    </row>
    <row r="620" ht="15.75" customHeight="1">
      <c r="O620" s="2"/>
    </row>
    <row r="621" ht="15.75" customHeight="1">
      <c r="O621" s="2"/>
    </row>
    <row r="622" ht="15.75" customHeight="1">
      <c r="O622" s="2"/>
    </row>
    <row r="623" ht="15.75" customHeight="1">
      <c r="O623" s="2"/>
    </row>
    <row r="624" ht="15.75" customHeight="1">
      <c r="O624" s="2"/>
    </row>
    <row r="625" ht="15.75" customHeight="1">
      <c r="O625" s="2"/>
    </row>
    <row r="626" ht="15.75" customHeight="1">
      <c r="O626" s="2"/>
    </row>
    <row r="627" ht="15.75" customHeight="1">
      <c r="O627" s="2"/>
    </row>
    <row r="628" ht="15.75" customHeight="1">
      <c r="O628" s="2"/>
    </row>
    <row r="629" ht="15.75" customHeight="1">
      <c r="O629" s="2"/>
    </row>
    <row r="630" ht="15.75" customHeight="1">
      <c r="O630" s="2"/>
    </row>
    <row r="631" ht="15.75" customHeight="1">
      <c r="O631" s="2"/>
    </row>
    <row r="632" ht="15.75" customHeight="1">
      <c r="O632" s="2"/>
    </row>
    <row r="633" ht="15.75" customHeight="1">
      <c r="O633" s="2"/>
    </row>
    <row r="634" ht="15.75" customHeight="1">
      <c r="O634" s="2"/>
    </row>
    <row r="635" ht="15.75" customHeight="1">
      <c r="O635" s="2"/>
    </row>
    <row r="636" ht="15.75" customHeight="1">
      <c r="O636" s="2"/>
    </row>
    <row r="637" ht="15.75" customHeight="1">
      <c r="O637" s="2"/>
    </row>
    <row r="638" ht="15.75" customHeight="1">
      <c r="O638" s="2"/>
    </row>
    <row r="639" ht="15.75" customHeight="1">
      <c r="O639" s="2"/>
    </row>
    <row r="640" ht="15.75" customHeight="1">
      <c r="O640" s="2"/>
    </row>
    <row r="641" ht="15.75" customHeight="1">
      <c r="O641" s="2"/>
    </row>
    <row r="642" ht="15.75" customHeight="1">
      <c r="O642" s="2"/>
    </row>
    <row r="643" ht="15.75" customHeight="1">
      <c r="O643" s="2"/>
    </row>
    <row r="644" ht="15.75" customHeight="1">
      <c r="O644" s="2"/>
    </row>
    <row r="645" ht="15.75" customHeight="1">
      <c r="O645" s="2"/>
    </row>
    <row r="646" ht="15.75" customHeight="1">
      <c r="O646" s="2"/>
    </row>
    <row r="647" ht="15.75" customHeight="1">
      <c r="O647" s="2"/>
    </row>
    <row r="648" ht="15.75" customHeight="1">
      <c r="O648" s="2"/>
    </row>
    <row r="649" ht="15.75" customHeight="1">
      <c r="O649" s="2"/>
    </row>
    <row r="650" ht="15.75" customHeight="1">
      <c r="O650" s="2"/>
    </row>
    <row r="651" ht="15.75" customHeight="1">
      <c r="O651" s="2"/>
    </row>
    <row r="652" ht="15.75" customHeight="1">
      <c r="O652" s="2"/>
    </row>
    <row r="653" ht="15.75" customHeight="1">
      <c r="O653" s="2"/>
    </row>
    <row r="654" ht="15.75" customHeight="1">
      <c r="O654" s="2"/>
    </row>
    <row r="655" ht="15.75" customHeight="1">
      <c r="O655" s="2"/>
    </row>
    <row r="656" ht="15.75" customHeight="1">
      <c r="O656" s="2"/>
    </row>
    <row r="657" ht="15.75" customHeight="1">
      <c r="O657" s="2"/>
    </row>
    <row r="658" ht="15.75" customHeight="1">
      <c r="O658" s="2"/>
    </row>
    <row r="659" ht="15.75" customHeight="1">
      <c r="O659" s="2"/>
    </row>
    <row r="660" ht="15.75" customHeight="1">
      <c r="O660" s="2"/>
    </row>
    <row r="661" ht="15.75" customHeight="1">
      <c r="O661" s="2"/>
    </row>
    <row r="662" ht="15.75" customHeight="1">
      <c r="O662" s="2"/>
    </row>
    <row r="663" ht="15.75" customHeight="1">
      <c r="O663" s="2"/>
    </row>
    <row r="664" ht="15.75" customHeight="1">
      <c r="O664" s="2"/>
    </row>
    <row r="665" ht="15.75" customHeight="1">
      <c r="O665" s="2"/>
    </row>
    <row r="666" ht="15.75" customHeight="1">
      <c r="O666" s="2"/>
    </row>
    <row r="667" ht="15.75" customHeight="1">
      <c r="O667" s="2"/>
    </row>
    <row r="668" ht="15.75" customHeight="1">
      <c r="O668" s="2"/>
    </row>
    <row r="669" ht="15.75" customHeight="1">
      <c r="O669" s="2"/>
    </row>
    <row r="670" ht="15.75" customHeight="1">
      <c r="O670" s="2"/>
    </row>
    <row r="671" ht="15.75" customHeight="1">
      <c r="O671" s="2"/>
    </row>
    <row r="672" ht="15.75" customHeight="1">
      <c r="O672" s="2"/>
    </row>
    <row r="673" ht="15.75" customHeight="1">
      <c r="O673" s="2"/>
    </row>
    <row r="674" ht="15.75" customHeight="1">
      <c r="O674" s="2"/>
    </row>
    <row r="675" ht="15.75" customHeight="1">
      <c r="O675" s="2"/>
    </row>
    <row r="676" ht="15.75" customHeight="1">
      <c r="O676" s="2"/>
    </row>
    <row r="677" ht="15.75" customHeight="1">
      <c r="O677" s="2"/>
    </row>
    <row r="678" ht="15.75" customHeight="1">
      <c r="O678" s="2"/>
    </row>
    <row r="679" ht="15.75" customHeight="1">
      <c r="O679" s="2"/>
    </row>
    <row r="680" ht="15.75" customHeight="1">
      <c r="O680" s="2"/>
    </row>
    <row r="681" ht="15.75" customHeight="1">
      <c r="O681" s="2"/>
    </row>
    <row r="682" ht="15.75" customHeight="1">
      <c r="O682" s="2"/>
    </row>
    <row r="683" ht="15.75" customHeight="1">
      <c r="O683" s="2"/>
    </row>
    <row r="684" ht="15.75" customHeight="1">
      <c r="O684" s="2"/>
    </row>
    <row r="685" ht="15.75" customHeight="1">
      <c r="O685" s="2"/>
    </row>
    <row r="686" ht="15.75" customHeight="1">
      <c r="O686" s="2"/>
    </row>
    <row r="687" ht="15.75" customHeight="1">
      <c r="O687" s="2"/>
    </row>
    <row r="688" ht="15.75" customHeight="1">
      <c r="O688" s="2"/>
    </row>
    <row r="689" ht="15.75" customHeight="1">
      <c r="O689" s="2"/>
    </row>
    <row r="690" ht="15.75" customHeight="1">
      <c r="O690" s="2"/>
    </row>
    <row r="691" ht="15.75" customHeight="1">
      <c r="O691" s="2"/>
    </row>
    <row r="692" ht="15.75" customHeight="1">
      <c r="O692" s="2"/>
    </row>
    <row r="693" ht="15.75" customHeight="1">
      <c r="O693" s="2"/>
    </row>
    <row r="694" ht="15.75" customHeight="1">
      <c r="O694" s="2"/>
    </row>
    <row r="695" ht="15.75" customHeight="1">
      <c r="O695" s="2"/>
    </row>
    <row r="696" ht="15.75" customHeight="1">
      <c r="O696" s="2"/>
    </row>
    <row r="697" ht="15.75" customHeight="1">
      <c r="O697" s="2"/>
    </row>
    <row r="698" ht="15.75" customHeight="1">
      <c r="O698" s="2"/>
    </row>
    <row r="699" ht="15.75" customHeight="1">
      <c r="O699" s="2"/>
    </row>
    <row r="700" ht="15.75" customHeight="1">
      <c r="O700" s="2"/>
    </row>
    <row r="701" ht="15.75" customHeight="1">
      <c r="O701" s="2"/>
    </row>
    <row r="702" ht="15.75" customHeight="1">
      <c r="O702" s="2"/>
    </row>
    <row r="703" ht="15.75" customHeight="1">
      <c r="O703" s="2"/>
    </row>
    <row r="704" ht="15.75" customHeight="1">
      <c r="O704" s="2"/>
    </row>
    <row r="705" ht="15.75" customHeight="1">
      <c r="O705" s="2"/>
    </row>
    <row r="706" ht="15.75" customHeight="1">
      <c r="O706" s="2"/>
    </row>
    <row r="707" ht="15.75" customHeight="1">
      <c r="O707" s="2"/>
    </row>
    <row r="708" ht="15.75" customHeight="1">
      <c r="O708" s="2"/>
    </row>
    <row r="709" ht="15.75" customHeight="1">
      <c r="O709" s="2"/>
    </row>
    <row r="710" ht="15.75" customHeight="1">
      <c r="O710" s="2"/>
    </row>
    <row r="711" ht="15.75" customHeight="1">
      <c r="O711" s="2"/>
    </row>
    <row r="712" ht="15.75" customHeight="1">
      <c r="O712" s="2"/>
    </row>
    <row r="713" ht="15.75" customHeight="1">
      <c r="O713" s="2"/>
    </row>
    <row r="714" ht="15.75" customHeight="1">
      <c r="O714" s="2"/>
    </row>
    <row r="715" ht="15.75" customHeight="1">
      <c r="O715" s="2"/>
    </row>
    <row r="716" ht="15.75" customHeight="1">
      <c r="O716" s="2"/>
    </row>
    <row r="717" ht="15.75" customHeight="1">
      <c r="O717" s="2"/>
    </row>
    <row r="718" ht="15.75" customHeight="1">
      <c r="O718" s="2"/>
    </row>
    <row r="719" ht="15.75" customHeight="1">
      <c r="O719" s="2"/>
    </row>
    <row r="720" ht="15.75" customHeight="1">
      <c r="O720" s="2"/>
    </row>
    <row r="721" ht="15.75" customHeight="1">
      <c r="O721" s="2"/>
    </row>
    <row r="722" ht="15.75" customHeight="1">
      <c r="O722" s="2"/>
    </row>
    <row r="723" ht="15.75" customHeight="1">
      <c r="O723" s="2"/>
    </row>
    <row r="724" ht="15.75" customHeight="1">
      <c r="O724" s="2"/>
    </row>
    <row r="725" ht="15.75" customHeight="1">
      <c r="O725" s="2"/>
    </row>
    <row r="726" ht="15.75" customHeight="1">
      <c r="O726" s="2"/>
    </row>
    <row r="727" ht="15.75" customHeight="1">
      <c r="O727" s="2"/>
    </row>
    <row r="728" ht="15.75" customHeight="1">
      <c r="O728" s="2"/>
    </row>
    <row r="729" ht="15.75" customHeight="1">
      <c r="O729" s="2"/>
    </row>
    <row r="730" ht="15.75" customHeight="1">
      <c r="O730" s="2"/>
    </row>
    <row r="731" ht="15.75" customHeight="1">
      <c r="O731" s="2"/>
    </row>
    <row r="732" ht="15.75" customHeight="1">
      <c r="O732" s="2"/>
    </row>
    <row r="733" ht="15.75" customHeight="1">
      <c r="O733" s="2"/>
    </row>
    <row r="734" ht="15.75" customHeight="1">
      <c r="O734" s="2"/>
    </row>
    <row r="735" ht="15.75" customHeight="1">
      <c r="O735" s="2"/>
    </row>
    <row r="736" ht="15.75" customHeight="1">
      <c r="O736" s="2"/>
    </row>
    <row r="737" ht="15.75" customHeight="1">
      <c r="O737" s="2"/>
    </row>
    <row r="738" ht="15.75" customHeight="1">
      <c r="O738" s="2"/>
    </row>
    <row r="739" ht="15.75" customHeight="1">
      <c r="O739" s="2"/>
    </row>
    <row r="740" ht="15.75" customHeight="1">
      <c r="O740" s="2"/>
    </row>
    <row r="741" ht="15.75" customHeight="1">
      <c r="O741" s="2"/>
    </row>
    <row r="742" ht="15.75" customHeight="1">
      <c r="O742" s="2"/>
    </row>
    <row r="743" ht="15.75" customHeight="1">
      <c r="O743" s="2"/>
    </row>
    <row r="744" ht="15.75" customHeight="1">
      <c r="O744" s="2"/>
    </row>
    <row r="745" ht="15.75" customHeight="1">
      <c r="O745" s="2"/>
    </row>
    <row r="746" ht="15.75" customHeight="1">
      <c r="O746" s="2"/>
    </row>
    <row r="747" ht="15.75" customHeight="1">
      <c r="O747" s="2"/>
    </row>
    <row r="748" ht="15.75" customHeight="1">
      <c r="O748" s="2"/>
    </row>
    <row r="749" ht="15.75" customHeight="1">
      <c r="O749" s="2"/>
    </row>
    <row r="750" ht="15.75" customHeight="1">
      <c r="O750" s="2"/>
    </row>
    <row r="751" ht="15.75" customHeight="1">
      <c r="O751" s="2"/>
    </row>
    <row r="752" ht="15.75" customHeight="1">
      <c r="O752" s="2"/>
    </row>
    <row r="753" ht="15.75" customHeight="1">
      <c r="O753" s="2"/>
    </row>
    <row r="754" ht="15.75" customHeight="1">
      <c r="O754" s="2"/>
    </row>
    <row r="755" ht="15.75" customHeight="1">
      <c r="O755" s="2"/>
    </row>
    <row r="756" ht="15.75" customHeight="1">
      <c r="O756" s="2"/>
    </row>
    <row r="757" ht="15.75" customHeight="1">
      <c r="O757" s="2"/>
    </row>
    <row r="758" ht="15.75" customHeight="1">
      <c r="O758" s="2"/>
    </row>
    <row r="759" ht="15.75" customHeight="1">
      <c r="O759" s="2"/>
    </row>
    <row r="760" ht="15.75" customHeight="1">
      <c r="O760" s="2"/>
    </row>
    <row r="761" ht="15.75" customHeight="1">
      <c r="O761" s="2"/>
    </row>
    <row r="762" ht="15.75" customHeight="1">
      <c r="O762" s="2"/>
    </row>
    <row r="763" ht="15.75" customHeight="1">
      <c r="O763" s="2"/>
    </row>
    <row r="764" ht="15.75" customHeight="1">
      <c r="O764" s="2"/>
    </row>
    <row r="765" ht="15.75" customHeight="1">
      <c r="O765" s="2"/>
    </row>
    <row r="766" ht="15.75" customHeight="1">
      <c r="O766" s="2"/>
    </row>
    <row r="767" ht="15.75" customHeight="1">
      <c r="O767" s="2"/>
    </row>
    <row r="768" ht="15.75" customHeight="1">
      <c r="O768" s="2"/>
    </row>
    <row r="769" ht="15.75" customHeight="1">
      <c r="O769" s="2"/>
    </row>
    <row r="770" ht="15.75" customHeight="1">
      <c r="O770" s="2"/>
    </row>
    <row r="771" ht="15.75" customHeight="1">
      <c r="O771" s="2"/>
    </row>
    <row r="772" ht="15.75" customHeight="1">
      <c r="O772" s="2"/>
    </row>
    <row r="773" ht="15.75" customHeight="1">
      <c r="O773" s="2"/>
    </row>
    <row r="774" ht="15.75" customHeight="1">
      <c r="O774" s="2"/>
    </row>
    <row r="775" ht="15.75" customHeight="1">
      <c r="O775" s="2"/>
    </row>
    <row r="776" ht="15.75" customHeight="1">
      <c r="O776" s="2"/>
    </row>
    <row r="777" ht="15.75" customHeight="1">
      <c r="O777" s="2"/>
    </row>
    <row r="778" ht="15.75" customHeight="1">
      <c r="O778" s="2"/>
    </row>
    <row r="779" ht="15.75" customHeight="1">
      <c r="O779" s="2"/>
    </row>
    <row r="780" ht="15.75" customHeight="1">
      <c r="O780" s="2"/>
    </row>
    <row r="781" ht="15.75" customHeight="1">
      <c r="O781" s="2"/>
    </row>
    <row r="782" ht="15.75" customHeight="1">
      <c r="O782" s="2"/>
    </row>
    <row r="783" ht="15.75" customHeight="1">
      <c r="O783" s="2"/>
    </row>
    <row r="784" ht="15.75" customHeight="1">
      <c r="O784" s="2"/>
    </row>
    <row r="785" ht="15.75" customHeight="1">
      <c r="O785" s="2"/>
    </row>
    <row r="786" ht="15.75" customHeight="1">
      <c r="O786" s="2"/>
    </row>
    <row r="787" ht="15.75" customHeight="1">
      <c r="O787" s="2"/>
    </row>
    <row r="788" ht="15.75" customHeight="1">
      <c r="O788" s="2"/>
    </row>
    <row r="789" ht="15.75" customHeight="1">
      <c r="O789" s="2"/>
    </row>
    <row r="790" ht="15.75" customHeight="1">
      <c r="O790" s="2"/>
    </row>
    <row r="791" ht="15.75" customHeight="1">
      <c r="O791" s="2"/>
    </row>
    <row r="792" ht="15.75" customHeight="1">
      <c r="O792" s="2"/>
    </row>
    <row r="793" ht="15.75" customHeight="1">
      <c r="O793" s="2"/>
    </row>
    <row r="794" ht="15.75" customHeight="1">
      <c r="O794" s="2"/>
    </row>
    <row r="795" ht="15.75" customHeight="1">
      <c r="O795" s="2"/>
    </row>
    <row r="796" ht="15.75" customHeight="1">
      <c r="O796" s="2"/>
    </row>
    <row r="797" ht="15.75" customHeight="1">
      <c r="O797" s="2"/>
    </row>
    <row r="798" ht="15.75" customHeight="1">
      <c r="O798" s="2"/>
    </row>
    <row r="799" ht="15.75" customHeight="1">
      <c r="O799" s="2"/>
    </row>
    <row r="800" ht="15.75" customHeight="1">
      <c r="O800" s="2"/>
    </row>
    <row r="801" ht="15.75" customHeight="1">
      <c r="O801" s="2"/>
    </row>
    <row r="802" ht="15.75" customHeight="1">
      <c r="O802" s="2"/>
    </row>
    <row r="803" ht="15.75" customHeight="1">
      <c r="O803" s="2"/>
    </row>
    <row r="804" ht="15.75" customHeight="1">
      <c r="O804" s="2"/>
    </row>
    <row r="805" ht="15.75" customHeight="1">
      <c r="O805" s="2"/>
    </row>
    <row r="806" ht="15.75" customHeight="1">
      <c r="O806" s="2"/>
    </row>
    <row r="807" ht="15.75" customHeight="1">
      <c r="O807" s="2"/>
    </row>
    <row r="808" ht="15.75" customHeight="1">
      <c r="O808" s="2"/>
    </row>
    <row r="809" ht="15.75" customHeight="1">
      <c r="O809" s="2"/>
    </row>
    <row r="810" ht="15.75" customHeight="1">
      <c r="O810" s="2"/>
    </row>
    <row r="811" ht="15.75" customHeight="1">
      <c r="O811" s="2"/>
    </row>
    <row r="812" ht="15.75" customHeight="1">
      <c r="O812" s="2"/>
    </row>
    <row r="813" ht="15.75" customHeight="1">
      <c r="O813" s="2"/>
    </row>
    <row r="814" ht="15.75" customHeight="1">
      <c r="O814" s="2"/>
    </row>
    <row r="815" ht="15.75" customHeight="1">
      <c r="O815" s="2"/>
    </row>
    <row r="816" ht="15.75" customHeight="1">
      <c r="O816" s="2"/>
    </row>
    <row r="817" ht="15.75" customHeight="1">
      <c r="O817" s="2"/>
    </row>
    <row r="818" ht="15.75" customHeight="1">
      <c r="O818" s="2"/>
    </row>
    <row r="819" ht="15.75" customHeight="1">
      <c r="O819" s="2"/>
    </row>
    <row r="820" ht="15.75" customHeight="1">
      <c r="O820" s="2"/>
    </row>
    <row r="821" ht="15.75" customHeight="1">
      <c r="O821" s="2"/>
    </row>
    <row r="822" ht="15.75" customHeight="1">
      <c r="O822" s="2"/>
    </row>
    <row r="823" ht="15.75" customHeight="1">
      <c r="O823" s="2"/>
    </row>
    <row r="824" ht="15.75" customHeight="1">
      <c r="O824" s="2"/>
    </row>
    <row r="825" ht="15.75" customHeight="1">
      <c r="O825" s="2"/>
    </row>
    <row r="826" ht="15.75" customHeight="1">
      <c r="O826" s="2"/>
    </row>
    <row r="827" ht="15.75" customHeight="1">
      <c r="O827" s="2"/>
    </row>
    <row r="828" ht="15.75" customHeight="1">
      <c r="O828" s="2"/>
    </row>
    <row r="829" ht="15.75" customHeight="1">
      <c r="O829" s="2"/>
    </row>
    <row r="830" ht="15.75" customHeight="1">
      <c r="O830" s="2"/>
    </row>
    <row r="831" ht="15.75" customHeight="1">
      <c r="O831" s="2"/>
    </row>
    <row r="832" ht="15.75" customHeight="1">
      <c r="O832" s="2"/>
    </row>
    <row r="833" ht="15.75" customHeight="1">
      <c r="O833" s="2"/>
    </row>
    <row r="834" ht="15.75" customHeight="1">
      <c r="O834" s="2"/>
    </row>
    <row r="835" ht="15.75" customHeight="1">
      <c r="O835" s="2"/>
    </row>
    <row r="836" ht="15.75" customHeight="1">
      <c r="O836" s="2"/>
    </row>
    <row r="837" ht="15.75" customHeight="1">
      <c r="O837" s="2"/>
    </row>
    <row r="838" ht="15.75" customHeight="1">
      <c r="O838" s="2"/>
    </row>
    <row r="839" ht="15.75" customHeight="1">
      <c r="O839" s="2"/>
    </row>
    <row r="840" ht="15.75" customHeight="1">
      <c r="O840" s="2"/>
    </row>
    <row r="841" ht="15.75" customHeight="1">
      <c r="O841" s="2"/>
    </row>
    <row r="842" ht="15.75" customHeight="1">
      <c r="O842" s="2"/>
    </row>
    <row r="843" ht="15.75" customHeight="1">
      <c r="O843" s="2"/>
    </row>
    <row r="844" ht="15.75" customHeight="1">
      <c r="O844" s="2"/>
    </row>
    <row r="845" ht="15.75" customHeight="1">
      <c r="O845" s="2"/>
    </row>
    <row r="846" ht="15.75" customHeight="1">
      <c r="O846" s="2"/>
    </row>
    <row r="847" ht="15.75" customHeight="1">
      <c r="O847" s="2"/>
    </row>
    <row r="848" ht="15.75" customHeight="1">
      <c r="O848" s="2"/>
    </row>
    <row r="849" ht="15.75" customHeight="1">
      <c r="O849" s="2"/>
    </row>
    <row r="850" ht="15.75" customHeight="1">
      <c r="O850" s="2"/>
    </row>
    <row r="851" ht="15.75" customHeight="1">
      <c r="O851" s="2"/>
    </row>
    <row r="852" ht="15.75" customHeight="1">
      <c r="O852" s="2"/>
    </row>
    <row r="853" ht="15.75" customHeight="1">
      <c r="O853" s="2"/>
    </row>
    <row r="854" ht="15.75" customHeight="1">
      <c r="O854" s="2"/>
    </row>
    <row r="855" ht="15.75" customHeight="1">
      <c r="O855" s="2"/>
    </row>
    <row r="856" ht="15.75" customHeight="1">
      <c r="O856" s="2"/>
    </row>
    <row r="857" ht="15.75" customHeight="1">
      <c r="O857" s="2"/>
    </row>
    <row r="858" ht="15.75" customHeight="1">
      <c r="O858" s="2"/>
    </row>
    <row r="859" ht="15.75" customHeight="1">
      <c r="O859" s="2"/>
    </row>
    <row r="860" ht="15.75" customHeight="1">
      <c r="O860" s="2"/>
    </row>
    <row r="861" ht="15.75" customHeight="1">
      <c r="O861" s="2"/>
    </row>
    <row r="862" ht="15.75" customHeight="1">
      <c r="O862" s="2"/>
    </row>
    <row r="863" ht="15.75" customHeight="1">
      <c r="O863" s="2"/>
    </row>
    <row r="864" ht="15.75" customHeight="1">
      <c r="O864" s="2"/>
    </row>
    <row r="865" ht="15.75" customHeight="1">
      <c r="O865" s="2"/>
    </row>
    <row r="866" ht="15.75" customHeight="1">
      <c r="O866" s="2"/>
    </row>
    <row r="867" ht="15.75" customHeight="1">
      <c r="O867" s="2"/>
    </row>
    <row r="868" ht="15.75" customHeight="1">
      <c r="O868" s="2"/>
    </row>
    <row r="869" ht="15.75" customHeight="1">
      <c r="O869" s="2"/>
    </row>
    <row r="870" ht="15.75" customHeight="1">
      <c r="O870" s="2"/>
    </row>
    <row r="871" ht="15.75" customHeight="1">
      <c r="O871" s="2"/>
    </row>
    <row r="872" ht="15.75" customHeight="1">
      <c r="O872" s="2"/>
    </row>
    <row r="873" ht="15.75" customHeight="1">
      <c r="O873" s="2"/>
    </row>
    <row r="874" ht="15.75" customHeight="1">
      <c r="O874" s="2"/>
    </row>
    <row r="875" ht="15.75" customHeight="1">
      <c r="O875" s="2"/>
    </row>
    <row r="876" ht="15.75" customHeight="1">
      <c r="O876" s="2"/>
    </row>
    <row r="877" ht="15.75" customHeight="1">
      <c r="O877" s="2"/>
    </row>
    <row r="878" ht="15.75" customHeight="1">
      <c r="O878" s="2"/>
    </row>
    <row r="879" ht="15.75" customHeight="1">
      <c r="O879" s="2"/>
    </row>
    <row r="880" ht="15.75" customHeight="1">
      <c r="O880" s="2"/>
    </row>
    <row r="881" ht="15.75" customHeight="1">
      <c r="O881" s="2"/>
    </row>
    <row r="882" ht="15.75" customHeight="1">
      <c r="O882" s="2"/>
    </row>
    <row r="883" ht="15.75" customHeight="1">
      <c r="O883" s="2"/>
    </row>
    <row r="884" ht="15.75" customHeight="1">
      <c r="O884" s="2"/>
    </row>
    <row r="885" ht="15.75" customHeight="1">
      <c r="O885" s="2"/>
    </row>
    <row r="886" ht="15.75" customHeight="1">
      <c r="O886" s="2"/>
    </row>
    <row r="887" ht="15.75" customHeight="1">
      <c r="O887" s="2"/>
    </row>
    <row r="888" ht="15.75" customHeight="1">
      <c r="O888" s="2"/>
    </row>
    <row r="889" ht="15.75" customHeight="1">
      <c r="O889" s="2"/>
    </row>
    <row r="890" ht="15.75" customHeight="1">
      <c r="O890" s="2"/>
    </row>
    <row r="891" ht="15.75" customHeight="1">
      <c r="O891" s="2"/>
    </row>
    <row r="892" ht="15.75" customHeight="1">
      <c r="O892" s="2"/>
    </row>
    <row r="893" ht="15.75" customHeight="1">
      <c r="O893" s="2"/>
    </row>
    <row r="894" ht="15.75" customHeight="1">
      <c r="O894" s="2"/>
    </row>
    <row r="895" ht="15.75" customHeight="1">
      <c r="O895" s="2"/>
    </row>
    <row r="896" ht="15.75" customHeight="1">
      <c r="O896" s="2"/>
    </row>
    <row r="897" ht="15.75" customHeight="1">
      <c r="O897" s="2"/>
    </row>
    <row r="898" ht="15.75" customHeight="1">
      <c r="O898" s="2"/>
    </row>
    <row r="899" ht="15.75" customHeight="1">
      <c r="O899" s="2"/>
    </row>
    <row r="900" ht="15.75" customHeight="1">
      <c r="O900" s="2"/>
    </row>
    <row r="901" ht="15.75" customHeight="1">
      <c r="O901" s="2"/>
    </row>
    <row r="902" ht="15.75" customHeight="1">
      <c r="O902" s="2"/>
    </row>
    <row r="903" ht="15.75" customHeight="1">
      <c r="O903" s="2"/>
    </row>
    <row r="904" ht="15.75" customHeight="1">
      <c r="O904" s="2"/>
    </row>
    <row r="905" ht="15.75" customHeight="1">
      <c r="O905" s="2"/>
    </row>
    <row r="906" ht="15.75" customHeight="1">
      <c r="O906" s="2"/>
    </row>
    <row r="907" ht="15.75" customHeight="1">
      <c r="O907" s="2"/>
    </row>
    <row r="908" ht="15.75" customHeight="1">
      <c r="O908" s="2"/>
    </row>
    <row r="909" ht="15.75" customHeight="1">
      <c r="O909" s="2"/>
    </row>
    <row r="910" ht="15.75" customHeight="1">
      <c r="O910" s="2"/>
    </row>
    <row r="911" ht="15.75" customHeight="1">
      <c r="O911" s="2"/>
    </row>
    <row r="912" ht="15.75" customHeight="1">
      <c r="O912" s="2"/>
    </row>
    <row r="913" ht="15.75" customHeight="1">
      <c r="O913" s="2"/>
    </row>
    <row r="914" ht="15.75" customHeight="1">
      <c r="O914" s="2"/>
    </row>
    <row r="915" ht="15.75" customHeight="1">
      <c r="O915" s="2"/>
    </row>
    <row r="916" ht="15.75" customHeight="1">
      <c r="O916" s="2"/>
    </row>
    <row r="917" ht="15.75" customHeight="1">
      <c r="O917" s="2"/>
    </row>
    <row r="918" ht="15.75" customHeight="1">
      <c r="O918" s="2"/>
    </row>
    <row r="919" ht="15.75" customHeight="1">
      <c r="O919" s="2"/>
    </row>
    <row r="920" ht="15.75" customHeight="1">
      <c r="O920" s="2"/>
    </row>
    <row r="921" ht="15.75" customHeight="1">
      <c r="O921" s="2"/>
    </row>
    <row r="922" ht="15.75" customHeight="1">
      <c r="O922" s="2"/>
    </row>
    <row r="923" ht="15.75" customHeight="1">
      <c r="O923" s="2"/>
    </row>
    <row r="924" ht="15.75" customHeight="1">
      <c r="O924" s="2"/>
    </row>
    <row r="925" ht="15.75" customHeight="1">
      <c r="O925" s="2"/>
    </row>
    <row r="926" ht="15.75" customHeight="1">
      <c r="O926" s="2"/>
    </row>
    <row r="927" ht="15.75" customHeight="1">
      <c r="O927" s="2"/>
    </row>
    <row r="928" ht="15.75" customHeight="1">
      <c r="O928" s="2"/>
    </row>
    <row r="929" ht="15.75" customHeight="1">
      <c r="O929" s="2"/>
    </row>
    <row r="930" ht="15.75" customHeight="1">
      <c r="O930" s="2"/>
    </row>
    <row r="931" ht="15.75" customHeight="1">
      <c r="O931" s="2"/>
    </row>
    <row r="932" ht="15.75" customHeight="1">
      <c r="O932" s="2"/>
    </row>
    <row r="933" ht="15.75" customHeight="1">
      <c r="O933" s="2"/>
    </row>
    <row r="934" ht="15.75" customHeight="1">
      <c r="O934" s="2"/>
    </row>
    <row r="935" ht="15.75" customHeight="1">
      <c r="O935" s="2"/>
    </row>
    <row r="936" ht="15.75" customHeight="1">
      <c r="O936" s="2"/>
    </row>
    <row r="937" ht="15.75" customHeight="1">
      <c r="O937" s="2"/>
    </row>
    <row r="938" ht="15.75" customHeight="1">
      <c r="O938" s="2"/>
    </row>
    <row r="939" ht="15.75" customHeight="1">
      <c r="O939" s="2"/>
    </row>
    <row r="940" ht="15.75" customHeight="1">
      <c r="O940" s="2"/>
    </row>
    <row r="941" ht="15.75" customHeight="1">
      <c r="O941" s="2"/>
    </row>
    <row r="942" ht="15.75" customHeight="1">
      <c r="O942" s="2"/>
    </row>
    <row r="943" ht="15.75" customHeight="1">
      <c r="O943" s="2"/>
    </row>
    <row r="944" ht="15.75" customHeight="1">
      <c r="O944" s="2"/>
    </row>
    <row r="945" ht="15.75" customHeight="1">
      <c r="O945" s="2"/>
    </row>
    <row r="946" ht="15.75" customHeight="1">
      <c r="O946" s="2"/>
    </row>
    <row r="947" ht="15.75" customHeight="1">
      <c r="O947" s="2"/>
    </row>
    <row r="948" ht="15.75" customHeight="1">
      <c r="O948" s="2"/>
    </row>
    <row r="949" ht="15.75" customHeight="1">
      <c r="O949" s="2"/>
    </row>
    <row r="950" ht="15.75" customHeight="1">
      <c r="O950" s="2"/>
    </row>
    <row r="951" ht="15.75" customHeight="1">
      <c r="O951" s="2"/>
    </row>
    <row r="952" ht="15.75" customHeight="1">
      <c r="O952" s="2"/>
    </row>
    <row r="953" ht="15.75" customHeight="1">
      <c r="O953" s="2"/>
    </row>
    <row r="954" ht="15.75" customHeight="1">
      <c r="O954" s="2"/>
    </row>
    <row r="955" ht="15.75" customHeight="1">
      <c r="O955" s="2"/>
    </row>
    <row r="956" ht="15.75" customHeight="1">
      <c r="O956" s="2"/>
    </row>
    <row r="957" ht="15.75" customHeight="1">
      <c r="O957" s="2"/>
    </row>
    <row r="958" ht="15.75" customHeight="1">
      <c r="O958" s="2"/>
    </row>
    <row r="959" ht="15.75" customHeight="1">
      <c r="O959" s="2"/>
    </row>
    <row r="960" ht="15.75" customHeight="1">
      <c r="O960" s="2"/>
    </row>
    <row r="961" ht="15.75" customHeight="1">
      <c r="O961" s="2"/>
    </row>
    <row r="962" ht="15.75" customHeight="1">
      <c r="O962" s="2"/>
    </row>
    <row r="963" ht="15.75" customHeight="1">
      <c r="O963" s="2"/>
    </row>
    <row r="964" ht="15.75" customHeight="1">
      <c r="O964" s="2"/>
    </row>
    <row r="965" ht="15.75" customHeight="1">
      <c r="O965" s="2"/>
    </row>
    <row r="966" ht="15.75" customHeight="1">
      <c r="O966" s="2"/>
    </row>
    <row r="967" ht="15.75" customHeight="1">
      <c r="O967" s="2"/>
    </row>
    <row r="968" ht="15.75" customHeight="1">
      <c r="O968" s="2"/>
    </row>
    <row r="969" ht="15.75" customHeight="1">
      <c r="O969" s="2"/>
    </row>
    <row r="970" ht="15.75" customHeight="1">
      <c r="O970" s="2"/>
    </row>
    <row r="971" ht="15.75" customHeight="1">
      <c r="O971" s="2"/>
    </row>
    <row r="972" ht="15.75" customHeight="1">
      <c r="O972" s="2"/>
    </row>
    <row r="973" ht="15.75" customHeight="1">
      <c r="O973" s="2"/>
    </row>
    <row r="974" ht="15.75" customHeight="1">
      <c r="O974" s="2"/>
    </row>
    <row r="975" ht="15.75" customHeight="1">
      <c r="O975" s="2"/>
    </row>
    <row r="976" ht="15.75" customHeight="1">
      <c r="O976" s="2"/>
    </row>
    <row r="977" ht="15.75" customHeight="1">
      <c r="O977" s="2"/>
    </row>
    <row r="978" ht="15.75" customHeight="1">
      <c r="O978" s="2"/>
    </row>
    <row r="979" ht="15.75" customHeight="1">
      <c r="O979" s="2"/>
    </row>
    <row r="980" ht="15.75" customHeight="1">
      <c r="O980" s="2"/>
    </row>
    <row r="981" ht="15.75" customHeight="1">
      <c r="O981" s="2"/>
    </row>
    <row r="982" ht="15.75" customHeight="1">
      <c r="O982" s="2"/>
    </row>
    <row r="983" ht="15.75" customHeight="1">
      <c r="O983" s="2"/>
    </row>
    <row r="984" ht="15.75" customHeight="1">
      <c r="O984" s="2"/>
    </row>
    <row r="985" ht="15.75" customHeight="1">
      <c r="O985" s="2"/>
    </row>
    <row r="986" ht="15.75" customHeight="1">
      <c r="O986" s="2"/>
    </row>
    <row r="987" ht="15.75" customHeight="1">
      <c r="O987" s="2"/>
    </row>
    <row r="988" ht="15.75" customHeight="1">
      <c r="O988" s="2"/>
    </row>
    <row r="989" ht="15.75" customHeight="1">
      <c r="O989" s="2"/>
    </row>
    <row r="990" ht="15.75" customHeight="1">
      <c r="O990" s="2"/>
    </row>
    <row r="991" ht="15.75" customHeight="1">
      <c r="O991" s="2"/>
    </row>
    <row r="992" ht="15.75" customHeight="1">
      <c r="O992" s="2"/>
    </row>
    <row r="993" ht="15.75" customHeight="1">
      <c r="O993" s="2"/>
    </row>
    <row r="994" ht="15.75" customHeight="1">
      <c r="O994" s="2"/>
    </row>
    <row r="995" ht="15.75" customHeight="1">
      <c r="O995" s="2"/>
    </row>
    <row r="996" ht="15.75" customHeight="1">
      <c r="O996" s="2"/>
    </row>
    <row r="997" ht="15.75" customHeight="1">
      <c r="O997" s="2"/>
    </row>
    <row r="998" ht="15.75" customHeight="1">
      <c r="O998" s="2"/>
    </row>
    <row r="999" ht="15.75" customHeight="1">
      <c r="O999" s="2"/>
    </row>
    <row r="1000" ht="15.75" customHeight="1">
      <c r="O1000" s="2"/>
    </row>
  </sheetData>
  <mergeCells count="1">
    <mergeCell ref="Q1:R1"/>
  </mergeCells>
  <printOptions gridLines="1" horizontalCentered="1"/>
  <pageMargins bottom="0.75" footer="0.0" header="0.0" left="0.7" right="0.7" top="0.75"/>
  <pageSetup fitToHeight="0" cellComments="atEnd" orientation="landscape" pageOrder="overThenDown"/>
  <drawing r:id="rId1"/>
</worksheet>
</file>